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ba9930258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 сайта" sheetId="1" r:id="R38fe2ce5dd0149d8"/>
    <x:sheet xmlns:r="http://schemas.openxmlformats.org/officeDocument/2006/relationships" name="Карта сайта" sheetId="2" r:id="R4130dac543ed49c0"/>
    <x:sheet xmlns:r="http://schemas.openxmlformats.org/officeDocument/2006/relationships" name="Сводка кластеров" sheetId="3" r:id="Rc7a1c930d02c4641"/>
    <x:sheet xmlns:r="http://schemas.openxmlformats.org/officeDocument/2006/relationships" name="Контроль пункта 1" sheetId="4" r:id="R93442875fd974c9f"/>
    <x:sheet xmlns:r="http://schemas.openxmlformats.org/officeDocument/2006/relationships" name="Паспорт структуры" sheetId="5" r:id="R96fe4d62507f40f6"/>
    <x:sheet xmlns:r="http://schemas.openxmlformats.org/officeDocument/2006/relationships" name="Интенты и границы" sheetId="6" r:id="Ra873226d544e429e"/>
    <x:sheet xmlns:r="http://schemas.openxmlformats.org/officeDocument/2006/relationships" name="Перелинковка" sheetId="7" r:id="R60253134b0ab4a47"/>
    <x:sheet xmlns:r="http://schemas.openxmlformats.org/officeDocument/2006/relationships" name="Служебные маршруты" sheetId="8" r:id="Rf819e2b1f2e74539"/>
    <x:sheet xmlns:r="http://schemas.openxmlformats.org/officeDocument/2006/relationships" name="Региональный шаблон" sheetId="9" r:id="Rc817f4bf4e6d477f"/>
    <x:sheet xmlns:r="http://schemas.openxmlformats.org/officeDocument/2006/relationships" name="Реестр источников" sheetId="10" r:id="Ra120f9e82e7247fc"/>
    <x:sheet xmlns:r="http://schemas.openxmlformats.org/officeDocument/2006/relationships" name="Вопросы согласования" sheetId="11" r:id="R5ee4bb107130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color rgb="FFFFFFFF"/>
    </x:font>
    <x:font>
      <x:b/>
    </x:font>
    <x:font/>
    <x:font>
      <x:b/>
      <x:sz val="18"/>
      <x:color rgb="FFFFFFFF"/>
      <x:name val="Open Sans"/>
    </x:font>
    <x:font>
      <x:sz val="10"/>
      <x:color rgb="FF697386"/>
      <x:name val="Open Sans"/>
    </x:font>
    <x:font>
      <x:b/>
      <x:sz val="10"/>
      <x:color rgb="FFFFFFFF"/>
      <x:name val="Open Sans"/>
    </x:font>
    <x:font>
      <x:sz val="9"/>
      <x:color rgb="FF303846"/>
      <x:name val="Open Sans"/>
    </x:font>
    <x:font>
      <x:b/>
      <x:sz val="14"/>
      <x:color rgb="FF299E46"/>
      <x:name val="Open Sans"/>
    </x:font>
    <x:font>
      <x:sz val="11"/>
      <x:color rgb="FF303846"/>
      <x:name val="Open Sans"/>
    </x:font>
    <x:font>
      <x:sz val="10"/>
      <x:color rgb="FF303846"/>
      <x:name val="Open Sans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3B4A62"/>
      </x:patternFill>
    </x:fill>
    <x:fill>
      <x:patternFill patternType="solid">
        <x:fgColor rgb="FFF3F5F7"/>
      </x:patternFill>
    </x:fill>
    <x:fill>
      <x:patternFill patternType="solid">
        <x:fgColor rgb="FFEE3524"/>
      </x:patternFill>
    </x:fill>
    <x:fill>
      <x:patternFill patternType="solid">
        <x:fgColor rgb="FFE8F3E5"/>
      </x:patternFill>
    </x:fill>
    <x:fill>
      <x:patternFill patternType="solid">
        <x:fgColor rgb="FFE8F0F7"/>
      </x:patternFill>
    </x:fill>
    <x:fill>
      <x:patternFill patternType="solid">
        <x:fgColor rgb="FFFFF4D6"/>
      </x:patternFill>
    </x:fill>
    <x:fill>
      <x:patternFill patternType="solid">
        <x:fgColor rgb="FFFCE9E6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BD3DD"/>
      </x:left>
      <x:right style="thin">
        <x:color rgb="FFCBD3DD"/>
      </x:right>
      <x:top style="thin">
        <x:color rgb="FFCBD3DD"/>
      </x:top>
      <x:bottom style="thin">
        <x:color rgb="FFCBD3DD"/>
      </x:bottom>
    </x:border>
    <x:border>
      <x:bottom style="thin">
        <x:color rgb="FFCBD3DD"/>
      </x:bottom>
    </x:border>
    <x:border>
      <x:top style="thin">
        <x:color rgb="FFCBD3DD"/>
      </x:top>
      <x:bottom style="thin">
        <x:color rgb="FFCBD3DD"/>
      </x:bottom>
    </x:border>
    <x:border>
      <x:left style="thin">
        <x:color rgb="FFCBD3DD"/>
      </x:left>
      <x:top style="thin">
        <x:color rgb="FFCBD3DD"/>
      </x:top>
    </x:border>
    <x:border>
      <x:top style="thin">
        <x:color rgb="FFCBD3DD"/>
      </x:top>
    </x:border>
    <x:border>
      <x:right style="thin">
        <x:color rgb="FFCBD3DD"/>
      </x:right>
      <x:top style="thin">
        <x:color rgb="FFCBD3DD"/>
      </x:top>
    </x:border>
    <x:border>
      <x:left style="thin">
        <x:color rgb="FFCBD3DD"/>
      </x:left>
    </x:border>
    <x:border>
      <x:right style="thin">
        <x:color rgb="FFCBD3DD"/>
      </x:right>
    </x:border>
    <x:border>
      <x:left style="thin">
        <x:color rgb="FFCBD3DD"/>
      </x:left>
      <x:bottom style="thin">
        <x:color rgb="FFCBD3DD"/>
      </x:bottom>
    </x:border>
    <x:border>
      <x:right style="thin">
        <x:color rgb="FFCBD3DD"/>
      </x:right>
      <x:bottom style="thin">
        <x:color rgb="FFCBD3DD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1" fillId="2" borderId="0" xfId="0" applyAlignment="1">
      <x:alignment horizontal="center"/>
    </x:xf>
    <x:xf numFmtId="0" fontId="1" fillId="2" borderId="0" xfId="0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0" xfId="0" applyNumberFormat="1" applyFont="1" applyFill="1" applyBorder="1"/>
    <x:xf numFmtId="0" fontId="9" fillId="9" borderId="3" xfId="0" applyNumberFormat="1" applyFont="1" applyFill="1" applyBorder="1"/>
    <x:xf numFmtId="0" fontId="9" fillId="9" borderId="11" xfId="0" applyNumberFormat="1" applyFont="1" applyFill="1" applyBorder="1"/>
    <x:xf numFmtId="0" fontId="9" fillId="9" borderId="5" xfId="0" applyNumberFormat="1" applyFont="1" applyFill="1" applyBorder="1" applyAlignment="1">
      <x:alignment wrapText="1"/>
    </x:xf>
    <x:xf numFmtId="0" fontId="9" fillId="9" borderId="6" xfId="0" applyNumberFormat="1" applyFont="1" applyFill="1" applyBorder="1" applyAlignment="1">
      <x:alignment wrapText="1"/>
    </x:xf>
    <x:xf numFmtId="0" fontId="9" fillId="9" borderId="7" xfId="0" applyNumberFormat="1" applyFont="1" applyFill="1" applyBorder="1" applyAlignment="1">
      <x:alignment wrapText="1"/>
    </x:xf>
    <x:xf numFmtId="0" fontId="9" fillId="9" borderId="8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9" xfId="0" applyNumberFormat="1" applyFont="1" applyFill="1" applyBorder="1" applyAlignment="1">
      <x:alignment wrapText="1"/>
    </x:xf>
    <x:xf numFmtId="0" fontId="9" fillId="9" borderId="10" xfId="0" applyNumberFormat="1" applyFont="1" applyFill="1" applyBorder="1" applyAlignment="1">
      <x:alignment wrapText="1"/>
    </x:xf>
    <x:xf numFmtId="0" fontId="9" fillId="9" borderId="3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center" wrapText="1"/>
    </x:xf>
    <x:xf numFmtId="0" fontId="9" fillId="9" borderId="8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9" xfId="0" applyNumberFormat="1" applyFont="1" applyFill="1" applyBorder="1" applyAlignment="1">
      <x:alignment vertical="center" wrapText="1"/>
    </x:xf>
    <x:xf numFmtId="0" fontId="9" fillId="9" borderId="10" xfId="0" applyNumberFormat="1" applyFont="1" applyFill="1" applyBorder="1" applyAlignment="1">
      <x:alignment vertical="center" wrapText="1"/>
    </x:xf>
    <x:xf numFmtId="0" fontId="9" fillId="9" borderId="3" xfId="0" applyNumberFormat="1" applyFont="1" applyFill="1" applyBorder="1" applyAlignment="1">
      <x:alignment vertical="center" wrapText="1"/>
    </x:xf>
    <x:xf numFmtId="0" fontId="9" fillId="9" borderId="1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5" xfId="0" applyNumberFormat="1" applyFont="1" applyFill="1" applyBorder="1"/>
    <x:xf numFmtId="0" fontId="10" fillId="10" borderId="6" xfId="0" applyNumberFormat="1" applyFont="1" applyFill="1" applyBorder="1"/>
    <x:xf numFmtId="0" fontId="10" fillId="10" borderId="7" xfId="0" applyNumberFormat="1" applyFont="1" applyFill="1" applyBorder="1"/>
    <x:xf numFmtId="0" fontId="10" fillId="10" borderId="8" xfId="0" applyNumberFormat="1" applyFont="1" applyFill="1" applyBorder="1"/>
    <x:xf numFmtId="0" fontId="10" fillId="10" borderId="9" xfId="0" applyNumberFormat="1" applyFont="1" applyFill="1" applyBorder="1"/>
    <x:xf numFmtId="0" fontId="10" fillId="10" borderId="10" xfId="0" applyNumberFormat="1" applyFont="1" applyFill="1" applyBorder="1"/>
    <x:xf numFmtId="0" fontId="10" fillId="10" borderId="3" xfId="0" applyNumberFormat="1" applyFont="1" applyFill="1" applyBorder="1"/>
    <x:xf numFmtId="0" fontId="10" fillId="10" borderId="11" xfId="0" applyNumberFormat="1" applyFont="1" applyFill="1" applyBorder="1"/>
    <x:xf numFmtId="0" fontId="10" fillId="10" borderId="5" xfId="0" applyNumberFormat="1" applyFont="1" applyFill="1" applyBorder="1" applyAlignment="1">
      <x:alignment wrapText="1"/>
    </x:xf>
    <x:xf numFmtId="0" fontId="10" fillId="10" borderId="6" xfId="0" applyNumberFormat="1" applyFont="1" applyFill="1" applyBorder="1" applyAlignment="1">
      <x:alignment wrapText="1"/>
    </x:xf>
    <x:xf numFmtId="0" fontId="10" fillId="10" borderId="7" xfId="0" applyNumberFormat="1" applyFont="1" applyFill="1" applyBorder="1" applyAlignment="1">
      <x:alignment wrapText="1"/>
    </x:xf>
    <x:xf numFmtId="0" fontId="10" fillId="10" borderId="8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wrapText="1"/>
    </x:xf>
    <x:xf numFmtId="0" fontId="10" fillId="10" borderId="10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wrapText="1"/>
    </x:xf>
    <x:xf numFmtId="0" fontId="10" fillId="10" borderId="11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10" fillId="10" borderId="10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vertical="center" wrapText="1"/>
    </x:xf>
    <x:xf numFmtId="0" fontId="10" fillId="10" borderId="11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11" borderId="3" xfId="0" applyNumberFormat="1" applyFont="1" applyFill="1" applyBorder="1" applyAlignment="1">
      <x:alignment vertical="center" wrapText="1"/>
    </x:xf>
    <x:xf numFmtId="0" fontId="7" fillId="11" borderId="4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12" borderId="4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EE3524"/>
      </x:font>
      <x:fill>
        <x:patternFill>
          <x:bgColor rgb="FFFCE9E6"/>
        </x:patternFill>
      </x:fill>
    </x:dxf>
    <x:dxf>
      <x:font>
        <x:b/>
        <x:color rgb="FF8A6116"/>
      </x:font>
      <x:fill>
        <x:patternFill>
          <x:bgColor rgb="FFFFF4D6"/>
        </x:patternFill>
      </x:fill>
    </x:dxf>
    <x:dxf>
      <x:font>
        <x:color rgb="FF299E46"/>
      </x:font>
      <x:fill>
        <x:patternFill>
          <x:bgColor rgb="FFE8F3E5"/>
        </x:patternFill>
      </x:fill>
    </x:dxf>
    <x:dxf>
      <x:font>
        <x:b/>
        <x:color rgb="FF8A6116"/>
      </x:font>
      <x:fill>
        <x:patternFill>
          <x:bgColor rgb="FFFFF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80316443d4363" /><Relationship Type="http://schemas.openxmlformats.org/officeDocument/2006/relationships/theme" Target="/xl/theme/theme1.xml" Id="Rb0a7d8a3680a4483" /><Relationship Type="http://schemas.openxmlformats.org/officeDocument/2006/relationships/sharedStrings" Target="/xl/sharedStrings.xml" Id="R643f970ff6d54521" /><Relationship Type="http://schemas.openxmlformats.org/officeDocument/2006/relationships/worksheet" Target="/xl/worksheets/sheet1.xml" Id="R38fe2ce5dd0149d8" /><Relationship Type="http://schemas.openxmlformats.org/officeDocument/2006/relationships/worksheet" Target="/xl/worksheets/sheet2.xml" Id="R4130dac543ed49c0" /><Relationship Type="http://schemas.openxmlformats.org/officeDocument/2006/relationships/worksheet" Target="/xl/worksheets/sheet3.xml" Id="Rc7a1c930d02c4641" /><Relationship Type="http://schemas.openxmlformats.org/officeDocument/2006/relationships/worksheet" Target="/xl/worksheets/sheet4.xml" Id="R93442875fd974c9f" /><Relationship Type="http://schemas.openxmlformats.org/officeDocument/2006/relationships/worksheet" Target="/xl/worksheets/sheet5.xml" Id="R96fe4d62507f40f6" /><Relationship Type="http://schemas.openxmlformats.org/officeDocument/2006/relationships/worksheet" Target="/xl/worksheets/sheet6.xml" Id="Ra873226d544e429e" /><Relationship Type="http://schemas.openxmlformats.org/officeDocument/2006/relationships/worksheet" Target="/xl/worksheets/sheet7.xml" Id="R60253134b0ab4a47" /><Relationship Type="http://schemas.openxmlformats.org/officeDocument/2006/relationships/worksheet" Target="/xl/worksheets/sheet8.xml" Id="Rf819e2b1f2e74539" /><Relationship Type="http://schemas.openxmlformats.org/officeDocument/2006/relationships/worksheet" Target="/xl/worksheets/sheet9.xml" Id="Rc817f4bf4e6d477f" /><Relationship Type="http://schemas.openxmlformats.org/officeDocument/2006/relationships/worksheet" Target="/xl/worksheets/sheet10.xml" Id="Ra120f9e82e7247fc" /><Relationship Type="http://schemas.openxmlformats.org/officeDocument/2006/relationships/worksheet" Target="/xl/worksheets/sheet11.xml" Id="R5ee4bb1071304f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28" customWidth="1"/>
    <x:col min="4" max="4" width="36" customWidth="1"/>
    <x:col min="5" max="5" width="34" customWidth="1"/>
    <x:col min="6" max="6" width="26" customWidth="1"/>
    <x:col min="7" max="7" width="90" customWidth="1"/>
    <x:col min="8" max="8" width="42" customWidth="1"/>
  </x:cols>
  <x:sheetData>
    <x:row r="1">
      <x:c r="A1" s="1" t="inlineStr">
        <x:is>
          <x:t xml:space="preserve">Уровень</x:t>
        </x:is>
      </x:c>
      <x:c r="B1" s="1" t="inlineStr">
        <x:is>
          <x:t xml:space="preserve">Раздел</x:t>
        </x:is>
      </x:c>
      <x:c r="C1" s="1" t="inlineStr">
        <x:is>
          <x:t xml:space="preserve">Страница</x:t>
        </x:is>
      </x:c>
      <x:c r="D1" s="1" t="inlineStr">
        <x:is>
          <x:t xml:space="preserve">URL</x:t>
        </x:is>
      </x:c>
      <x:c r="E1" s="1" t="inlineStr">
        <x:is>
          <x:t xml:space="preserve">H1</x:t>
        </x:is>
      </x:c>
      <x:c r="F1" s="1" t="inlineStr">
        <x:is>
          <x:t xml:space="preserve">Кластер из ядра</x:t>
        </x:is>
      </x:c>
      <x:c r="G1" s="1" t="inlineStr">
        <x:is>
          <x:t xml:space="preserve">Ключевые запросы</x:t>
        </x:is>
      </x:c>
      <x:c r="H1" s="1" t="inlineStr">
        <x:is>
          <x:t xml:space="preserve">Комментарий</x:t>
        </x:is>
      </x:c>
    </x:row>
    <x:row r="2">
      <x:c r="A2" s="2" t="n">
        <x:v>1</x:v>
      </x:c>
      <x:c r="B2" s="2" t="inlineStr">
        <x:is>
          <x:t xml:space="preserve">Главная</x:t>
        </x:is>
      </x:c>
      <x:c r="C2" s="3" t="inlineStr">
        <x:is>
          <x:t xml:space="preserve">Главная</x:t>
        </x:is>
      </x:c>
      <x:c r="D2" s="3" t="inlineStr">
        <x:is>
          <x:t xml:space="preserve">/</x:t>
        </x:is>
      </x:c>
      <x:c r="E2" s="3" t="str">
        <x:v>Подбор строительного персонала по всей России</x:v>
      </x:c>
      <x:c r="F2" s="2" t="inlineStr">
        <x:is>
          <x:t xml:space="preserve">Подбор персонала / Главная</x:t>
        </x:is>
      </x:c>
      <x:c r="G2" s="2" t="inlineStr">
        <x:is>
          <x:t xml:space="preserve">подбор персонала; подбор персонала быстро; подбор вахтового персонала; аутсорсинг подбора персонала; подбор строительного персонала; услуги подбор персонала; подбор персонала услуги; центр подбора персонала; нужен подбор персонала; точечный подбор персонала</x:t>
        </x:is>
      </x:c>
      <x:c r="H2" s="2" t="inlineStr">
        <x:is>
          <x:t xml:space="preserve">Соответствует вкладке «Подбор персонала  Главная» из ядра.</x:t>
        </x:is>
      </x:c>
    </x:row>
    <x:row r="3">
      <x:c r="A3" s="4" t="n">
        <x:v>2</x:v>
      </x:c>
      <x:c r="B3" s="4" t="inlineStr">
        <x:is>
          <x:t xml:space="preserve">Категория</x:t>
        </x:is>
      </x:c>
      <x:c r="C3" s="5" t="inlineStr">
        <x:is>
          <x:t xml:space="preserve">водитель спецтехника</x:t>
        </x:is>
      </x:c>
      <x:c r="D3" s="5" t="inlineStr">
        <x:is>
          <x:t xml:space="preserve">/voditel-spetstehnika/</x:t>
        </x:is>
      </x:c>
      <x:c r="E3" s="5" t="str">
        <x:v>Подбор водителей спецтехники</x:v>
      </x:c>
      <x:c r="F3" s="4" t="inlineStr">
        <x:is>
          <x:t xml:space="preserve">водитель спецтехника</x:t>
        </x:is>
      </x:c>
      <x:c r="G3" s="4" t="inlineStr">
        <x:is>
          <x:t xml:space="preserve">требуются водители спецтехники; водитель спецтехники; машинист спецтехники; водитель оператор спецтехники; резюме водителя спецтехники; требуются срочно водители вахтой; требуются водители категории е вахта; требуются водители категории д вахта; требуются водители вахтой срочно; требуются водители вахтой</x:t>
        </x:is>
      </x:c>
      <x:c r="H3" s="4" t="inlineStr">
        <x:is>
          <x:t xml:space="preserve">Категория и общая страница под кластер из отдельной вкладки ядра.</x:t>
        </x:is>
      </x:c>
    </x:row>
    <x:row r="4">
      <x:c r="A4" s="6" t="n">
        <x:v>3</x:v>
      </x:c>
      <x:c r="B4" s="6" t="inlineStr">
        <x:is>
          <x:t xml:space="preserve">водитель спецтехника</x:t>
        </x:is>
      </x:c>
      <x:c r="C4" s="7" t="inlineStr">
        <x:is>
          <x:t xml:space="preserve">водитель грузового автомобиля</x:t>
        </x:is>
      </x:c>
      <x:c r="D4" s="7" t="inlineStr">
        <x:is>
          <x:t xml:space="preserve">/voditel-spetstehnika/voditel-gruzovogo-avtomobilya/</x:t>
        </x:is>
      </x:c>
      <x:c r="E4" s="7" t="str">
        <x:v>Подбор водителей грузовых автомобилей</x:v>
      </x:c>
      <x:c r="F4" s="6" t="inlineStr">
        <x:is>
          <x:t xml:space="preserve">водитель грузового автомобиля</x:t>
        </x:is>
      </x:c>
      <x:c r="G4" s="6" t="inlineStr">
        <x:is>
          <x:t xml:space="preserve">водители грузового автомобиля; аутсорсинг водителей грузовых автомобилей; биржа водителей грузовых автомобилей; услуги водителя грузового автомобиля; водитель грузового автомобиля требуется; требуется водитель грузового автомобиля; группы водителей грузовых автомобилей; командировка водителя грузового автомобиля; водитель грузового автомобиля вахта; водитель грузового автомобиля камаз</x:t>
        </x:is>
      </x:c>
      <x:c r="H4" s="6" t="inlineStr">
        <x:is>
          <x:t xml:space="preserve">Страница специалиста по одноименной вкладке ядра.</x:t>
        </x:is>
      </x:c>
    </x:row>
    <x:row r="5">
      <x:c r="A5" s="6" t="n">
        <x:v>3</x:v>
      </x:c>
      <x:c r="B5" s="6" t="inlineStr">
        <x:is>
          <x:t xml:space="preserve">водитель спецтехника</x:t>
        </x:is>
      </x:c>
      <x:c r="C5" s="7" t="inlineStr">
        <x:is>
          <x:t xml:space="preserve">водитель погрузчика</x:t>
        </x:is>
      </x:c>
      <x:c r="D5" s="7" t="inlineStr">
        <x:is>
          <x:t xml:space="preserve">/voditel-spetstehnika/voditel-pogruzchika/</x:t>
        </x:is>
      </x:c>
      <x:c r="E5" s="7" t="str">
        <x:v>Подбор водителей погрузчика</x:v>
      </x:c>
      <x:c r="F5" s="6" t="inlineStr">
        <x:is>
          <x:t xml:space="preserve">водитель погрузчика</x:t>
        </x:is>
      </x:c>
      <x:c r="G5" s="6" t="inlineStr">
        <x:is>
          <x:t xml:space="preserve">водитель погрузчика вахта; вахта водитель погрузчика; водитель фронтального погрузчика вахта; вахта водитель фронтального погрузчика; вахта водитель погрузчика фронтального; вахта водитель вилочного погрузчика; водитель вилочного погрузчика вахта; водитель погрузчика вилочного вахта; вахта водитель погрузчика вилочного; водитель автопогрузчика вахта</x:t>
        </x:is>
      </x:c>
      <x:c r="H5" s="6" t="inlineStr">
        <x:is>
          <x:t xml:space="preserve">Страница специалиста по одноименной вкладке ядра.</x:t>
        </x:is>
      </x:c>
    </x:row>
    <x:row r="6">
      <x:c r="A6" s="6" t="n">
        <x:v>3</x:v>
      </x:c>
      <x:c r="B6" s="6" t="inlineStr">
        <x:is>
          <x:t xml:space="preserve">водитель спецтехника</x:t>
        </x:is>
      </x:c>
      <x:c r="C6" s="7" t="inlineStr">
        <x:is>
          <x:t xml:space="preserve">водитель самосвала</x:t>
        </x:is>
      </x:c>
      <x:c r="D6" s="7" t="inlineStr">
        <x:is>
          <x:t xml:space="preserve">/voditel-spetstehnika/voditel-samosvala/</x:t>
        </x:is>
      </x:c>
      <x:c r="E6" s="7" t="str">
        <x:v>Подбор водителей самосвала</x:v>
      </x:c>
      <x:c r="F6" s="6" t="inlineStr">
        <x:is>
          <x:t xml:space="preserve">водитель самосвала</x:t>
        </x:is>
      </x:c>
      <x:c r="G6" s="6" t="inlineStr">
        <x:is>
          <x:t xml:space="preserve">водитель самосвала; водитель самосвала вахта; вахта север водитель самосвала; вахта водитель самосвала; водитель самосвала вахта север; окз водитель самосвала; водитель самосвала окз; еткс водитель самосвала; водитель самосвала еткс; водитель самосвала требуется</x:t>
        </x:is>
      </x:c>
      <x:c r="H6" s="6" t="inlineStr">
        <x:is>
          <x:t xml:space="preserve">Страница специалиста по одноименной вкладке ядра.</x:t>
        </x:is>
      </x:c>
    </x:row>
    <x:row r="7">
      <x:c r="A7" s="6" t="n">
        <x:v>3</x:v>
      </x:c>
      <x:c r="B7" s="6" t="inlineStr">
        <x:is>
          <x:t xml:space="preserve">водитель спецтехника</x:t>
        </x:is>
      </x:c>
      <x:c r="C7" s="7" t="inlineStr">
        <x:is>
          <x:t xml:space="preserve">водитель тягача</x:t>
        </x:is>
      </x:c>
      <x:c r="D7" s="7" t="inlineStr">
        <x:is>
          <x:t xml:space="preserve">/voditel-spetstehnika/voditel-tyagacha/</x:t>
        </x:is>
      </x:c>
      <x:c r="E7" s="7" t="str">
        <x:v>Подбор водителей тягача</x:v>
      </x:c>
      <x:c r="F7" s="6" t="inlineStr">
        <x:is>
          <x:t xml:space="preserve">водитель тягача</x:t>
        </x:is>
      </x:c>
      <x:c r="G7" s="6" t="inlineStr">
        <x:is>
          <x:t xml:space="preserve">водитель тягача; водитель портового тягача; механик водитель дежурного тягача; водитель дежурного тягача; водитель тягача портового; водитель механик дежурного тягача; требуется водитель на тягач; сколько зарабатывает водитель тягача; водитель тягача среднего класса; услуги тягача с водителем</x:t>
        </x:is>
      </x:c>
      <x:c r="H7" s="6" t="inlineStr">
        <x:is>
          <x:t xml:space="preserve">Страница специалиста по одноименной вкладке ядра.</x:t>
        </x:is>
      </x:c>
    </x:row>
    <x:row r="8">
      <x:c r="A8" s="6" t="n">
        <x:v>3</x:v>
      </x:c>
      <x:c r="B8" s="6" t="inlineStr">
        <x:is>
          <x:t xml:space="preserve">водитель спецтехника</x:t>
        </x:is>
      </x:c>
      <x:c r="C8" s="7" t="inlineStr">
        <x:is>
          <x:t xml:space="preserve">Топливозаправщик</x:t>
        </x:is>
      </x:c>
      <x:c r="D8" s="7" t="inlineStr">
        <x:is>
          <x:t xml:space="preserve">/voditel-spetstehnika/toplivozapravschik/</x:t>
        </x:is>
      </x:c>
      <x:c r="E8" s="7" t="str">
        <x:v>Подбор водителей топливозаправщика</x:v>
      </x:c>
      <x:c r="F8" s="6" t="inlineStr">
        <x:is>
          <x:t xml:space="preserve">Топливозаправщик</x:t>
        </x:is>
      </x:c>
      <x:c r="G8" s="6" t="inlineStr">
        <x:is>
          <x:t xml:space="preserve">вахта водитель топливозаправщика; водитель топливозаправщика вахта; вахта водитель категории е допог; водитель допог вахта прямой работодатель; водитель допог вахта; вахта водитель допог</x:t>
        </x:is>
      </x:c>
      <x:c r="H8" s="6" t="inlineStr">
        <x:is>
          <x:t xml:space="preserve">Страница специалиста по одноименной вкладке ядра.</x:t>
        </x:is>
      </x:c>
    </x:row>
    <x:row r="9">
      <x:c r="A9" s="6" t="n">
        <x:v>3</x:v>
      </x:c>
      <x:c r="B9" s="6" t="inlineStr">
        <x:is>
          <x:t xml:space="preserve">водитель спецтехника</x:t>
        </x:is>
      </x:c>
      <x:c r="C9" s="7" t="inlineStr">
        <x:is>
          <x:t xml:space="preserve">водитель трала</x:t>
        </x:is>
      </x:c>
      <x:c r="D9" s="7" t="inlineStr">
        <x:is>
          <x:t xml:space="preserve">/voditel-spetstehnika/voditel-trala/</x:t>
        </x:is>
      </x:c>
      <x:c r="E9" s="7" t="str">
        <x:v>Подбор водителей трала</x:v>
      </x:c>
      <x:c r="F9" s="6" t="inlineStr">
        <x:is>
          <x:t xml:space="preserve">водитель трала</x:t>
        </x:is>
      </x:c>
      <x:c r="G9" s="6" t="inlineStr">
        <x:is>
          <x:t xml:space="preserve">водитель трала; водитель трала категория прав; водитель на трал требуется; требуется водитель на трал; водитель е трал вахта; водитель трала в санкт петербурге; водитель трала москва и московская область; водитель трала категории е; водитель низкорамного трала; водитель автомобиля трал</x:t>
        </x:is>
      </x:c>
      <x:c r="H9" s="6" t="inlineStr">
        <x:is>
          <x:t xml:space="preserve">Страница специалиста по одноименной вкладке ядра.</x:t>
        </x:is>
      </x:c>
    </x:row>
    <x:row r="10">
      <x:c r="A10" s="6" t="n">
        <x:v>3</x:v>
      </x:c>
      <x:c r="B10" s="6" t="inlineStr">
        <x:is>
          <x:t xml:space="preserve">водитель спецтехника</x:t>
        </x:is>
      </x:c>
      <x:c r="C10" s="7" t="inlineStr">
        <x:is>
          <x:t xml:space="preserve">водитель вездехода</x:t>
        </x:is>
      </x:c>
      <x:c r="D10" s="7" t="inlineStr">
        <x:is>
          <x:t xml:space="preserve">/voditel-spetstehnika/voditel-vezdehoda/</x:t>
        </x:is>
      </x:c>
      <x:c r="E10" s="7" t="str">
        <x:v>Подбор водителей вездехода</x:v>
      </x:c>
      <x:c r="F10" s="6" t="inlineStr">
        <x:is>
          <x:t xml:space="preserve">водитель вездехода</x:t>
        </x:is>
      </x:c>
      <x:c r="G10" s="6" t="inlineStr">
        <x:is>
          <x:t xml:space="preserve">водитель вездехода; водитель вездехода категория е; водитель гусеничного вездехода; водитель вездехода 6 разряда; водитель вездехода какая категория; водитель вездехода трэкол; водитель вездехода 5 разряда; водитель вездехода права; водитель вездехода мтлб; категория е водитель вездехода</x:t>
        </x:is>
      </x:c>
      <x:c r="H10" s="6" t="inlineStr">
        <x:is>
          <x:t xml:space="preserve">Страница специалиста по одноименной вкладке ядра.</x:t>
        </x:is>
      </x:c>
    </x:row>
    <x:row r="11">
      <x:c r="A11" s="6" t="n">
        <x:v>3</x:v>
      </x:c>
      <x:c r="B11" s="6" t="inlineStr">
        <x:is>
          <x:t xml:space="preserve">водитель спецтехника</x:t>
        </x:is>
      </x:c>
      <x:c r="C11" s="7" t="inlineStr">
        <x:is>
          <x:t xml:space="preserve">водитель ломовоза</x:t>
        </x:is>
      </x:c>
      <x:c r="D11" s="7" t="inlineStr">
        <x:is>
          <x:t xml:space="preserve">/voditel-spetstehnika/voditel-lomovoza/</x:t>
        </x:is>
      </x:c>
      <x:c r="E11" s="7" t="str">
        <x:v>Подбор водителей ломовоза</x:v>
      </x:c>
      <x:c r="F11" s="6" t="inlineStr">
        <x:is>
          <x:t xml:space="preserve">водитель ломовоза</x:t>
        </x:is>
      </x:c>
      <x:c r="G11" s="6" t="inlineStr">
        <x:is>
          <x:t xml:space="preserve">водитель ломовоза; водитель ломовоза с манипулятором; водитель ломовоза категории е; водителем ломовоза; водитель ломовоза вахта; вахта водитель ломовоза</x:t>
        </x:is>
      </x:c>
      <x:c r="H11" s="6" t="inlineStr">
        <x:is>
          <x:t xml:space="preserve">Страница специалиста по одноименной вкладке ядра.</x:t>
        </x:is>
      </x:c>
    </x:row>
    <x:row r="12">
      <x:c r="A12" s="4" t="n">
        <x:v>2</x:v>
      </x:c>
      <x:c r="B12" s="4" t="inlineStr">
        <x:is>
          <x:t xml:space="preserve">Категория</x:t>
        </x:is>
      </x:c>
      <x:c r="C12" s="5" t="inlineStr">
        <x:is>
          <x:t xml:space="preserve">машинисты спецтехники</x:t>
        </x:is>
      </x:c>
      <x:c r="D12" s="5" t="inlineStr">
        <x:is>
          <x:t xml:space="preserve">/mashinisty-spetstehniki/</x:t>
        </x:is>
      </x:c>
      <x:c r="E12" s="5" t="str">
        <x:v>Подбор машинистов спецтехники</x:v>
      </x:c>
      <x:c r="F12" s="4" t="inlineStr">
        <x:is>
          <x:t xml:space="preserve">машинисты спецтехники</x:t>
        </x:is>
      </x:c>
      <x:c r="G12" s="4" t="inlineStr">
        <x:is>
          <x:t xml:space="preserve">машинисты спецтехники; водитель на спецтехнику; машинист спецтехники вахта; машинист спецтехника; машинист на спецтехнику</x:t>
        </x:is>
      </x:c>
      <x:c r="H12" s="4" t="inlineStr">
        <x:is>
          <x:t xml:space="preserve">Категория и общая страница под кластер из отдельной вкладки ядра.</x:t>
        </x:is>
      </x:c>
    </x:row>
    <x:row r="13">
      <x:c r="A13" s="6" t="n">
        <x:v>3</x:v>
      </x:c>
      <x:c r="B13" s="6" t="inlineStr">
        <x:is>
          <x:t xml:space="preserve">машинисты спецтехники</x:t>
        </x:is>
      </x:c>
      <x:c r="C13" s="7" t="inlineStr">
        <x:is>
          <x:t xml:space="preserve">бульдозеристы</x:t>
        </x:is>
      </x:c>
      <x:c r="D13" s="7" t="inlineStr">
        <x:is>
          <x:t xml:space="preserve">/mashinisty-spetstehniki/buldozeristy/</x:t>
        </x:is>
      </x:c>
      <x:c r="E13" s="7" t="str">
        <x:v>Подбор машинистов бульдозера</x:v>
      </x:c>
      <x:c r="F13" s="6" t="inlineStr">
        <x:is>
          <x:t xml:space="preserve">бульдозеристы</x:t>
        </x:is>
      </x:c>
      <x:c r="G13" s="6" t="inlineStr">
        <x:is>
          <x:t xml:space="preserve">машинисты бульдозера; машинист бульдозера; машинист бульдозера вахта; водитель бульдозера; вахта бульдозерист; бульдозерист вахта; машинист бульдозера колесного; машинист колесного бульдозера; машинист бульдозера машинист экскаватора; машинист экскаватора машинист бульдозера</x:t>
        </x:is>
      </x:c>
      <x:c r="H13" s="6" t="inlineStr">
        <x:is>
          <x:t xml:space="preserve">Страница специалиста по одноименной вкладке ядра.</x:t>
        </x:is>
      </x:c>
    </x:row>
    <x:row r="14">
      <x:c r="A14" s="6" t="n">
        <x:v>3</x:v>
      </x:c>
      <x:c r="B14" s="6" t="inlineStr">
        <x:is>
          <x:t xml:space="preserve">машинисты спецтехники</x:t>
        </x:is>
      </x:c>
      <x:c r="C14" s="7" t="inlineStr">
        <x:is>
          <x:t xml:space="preserve">машинист трубоукладчика</x:t>
        </x:is>
      </x:c>
      <x:c r="D14" s="7" t="inlineStr">
        <x:is>
          <x:t xml:space="preserve">/mashinisty-spetstehniki/mashinist-truboukladchika/</x:t>
        </x:is>
      </x:c>
      <x:c r="E14" s="7" t="str">
        <x:v>Подбор машинистов трубоукладчика</x:v>
      </x:c>
      <x:c r="F14" s="6" t="inlineStr">
        <x:is>
          <x:t xml:space="preserve">машинист трубоукладчика</x:t>
        </x:is>
      </x:c>
      <x:c r="G14" s="6" t="inlineStr">
        <x:is>
          <x:t xml:space="preserve">машинист трубоукладчика; машинисты трубоукладчика; машинист трубоукладчика резюме; 14277 машинист трубоукладчика; требуется машинист трубоукладчика; машинист трубоукладчик; экзаменационные билеты на машиниста трубоукладчика; машинист трубоукладчика прямой работодатель; трубоукладчик машинист; машинист трубоукладчика требуется</x:t>
        </x:is>
      </x:c>
      <x:c r="H14" s="6" t="inlineStr">
        <x:is>
          <x:t xml:space="preserve">Страница специалиста по одноименной вкладке ядра.</x:t>
        </x:is>
      </x:c>
    </x:row>
    <x:row r="15">
      <x:c r="A15" s="6" t="n">
        <x:v>3</x:v>
      </x:c>
      <x:c r="B15" s="6" t="inlineStr">
        <x:is>
          <x:t xml:space="preserve">машинисты спецтехники</x:t>
        </x:is>
      </x:c>
      <x:c r="C15" s="7" t="inlineStr">
        <x:is>
          <x:t xml:space="preserve">экскаваторщик</x:t>
        </x:is>
      </x:c>
      <x:c r="D15" s="7" t="inlineStr">
        <x:is>
          <x:t xml:space="preserve">/mashinisty-spetstehniki/ekskavatorschik/</x:t>
        </x:is>
      </x:c>
      <x:c r="E15" s="7" t="str">
        <x:v>Подбор машинистов экскаватора</x:v>
      </x:c>
      <x:c r="F15" s="6" t="inlineStr">
        <x:is>
          <x:t xml:space="preserve">экскаваторщик</x:t>
        </x:is>
      </x:c>
      <x:c r="G15" s="6" t="inlineStr">
        <x:is>
          <x:t xml:space="preserve">машинист экскаватора; машинисты экскаватора; водитель экскаватора; водитель погрузчика экскаватора; водитель экскаватора погрузчика; машинист экскаватора или водитель; требуется водитель на погрузчик экскаватор; водитель погрузчика экскаватора резюме; резюме водитель погрузчика экскаватора; резюме водитель экскаватора погрузчика</x:t>
        </x:is>
      </x:c>
      <x:c r="H15" s="6" t="inlineStr">
        <x:is>
          <x:t xml:space="preserve">Страница специалиста по одноименной вкладке ядра.</x:t>
        </x:is>
      </x:c>
    </x:row>
    <x:row r="16">
      <x:c r="A16" s="6" t="n">
        <x:v>3</x:v>
      </x:c>
      <x:c r="B16" s="6" t="inlineStr">
        <x:is>
          <x:t xml:space="preserve">машинисты спецтехники</x:t>
        </x:is>
      </x:c>
      <x:c r="C16" s="7" t="inlineStr">
        <x:is>
          <x:t xml:space="preserve">машинисты автокрана</x:t>
        </x:is>
      </x:c>
      <x:c r="D16" s="7" t="inlineStr">
        <x:is>
          <x:t xml:space="preserve">/mashinisty-spetstehniki/mashinisty-avtokrana/</x:t>
        </x:is>
      </x:c>
      <x:c r="E16" s="7" t="str">
        <x:v>Подбор машинистов автокрана</x:v>
      </x:c>
      <x:c r="F16" s="6" t="inlineStr">
        <x:is>
          <x:t xml:space="preserve">машинисты автокрана</x:t>
        </x:is>
      </x:c>
      <x:c r="G16" s="6" t="inlineStr">
        <x:is>
          <x:t xml:space="preserve">машинист автокрана; машинист крана автомобильного; автокрановщик; машинисты автокрана; автокрановщики; машинист автомобильного крана; водитель автокрана или машинист автокрана; машинист автокрана или водитель автокрана; машинист автокрана вахта; вахта автокрановщик</x:t>
        </x:is>
      </x:c>
      <x:c r="H16" s="6" t="inlineStr">
        <x:is>
          <x:t xml:space="preserve">Страница специалиста по одноименной вкладке ядра.</x:t>
        </x:is>
      </x:c>
    </x:row>
    <x:row r="17">
      <x:c r="A17" s="6" t="n">
        <x:v>3</x:v>
      </x:c>
      <x:c r="B17" s="6" t="str">
        <x:v>машинисты спецтехники</x:v>
      </x:c>
      <x:c r="C17" s="7" t="str">
        <x:v>машинист автовышки и автогидроподъемника</x:v>
      </x:c>
      <x:c r="D17" s="7" t="str">
        <x:v>/mashinisty-spetstehniki/mashinist-avtovyshki/</x:v>
      </x:c>
      <x:c r="E17" s="7" t="str">
        <x:v>Подбор машинистов автовышки и автогидроподъемников</x:v>
      </x:c>
      <x:c r="F17" s="6" t="str">
        <x:v>машинист автовышки и автогидроподъемника</x:v>
      </x:c>
      <x:c r="G17" s="6" t="str">
        <x:v>машинист автовышки; оператор автовышки; машинисты автовышки; операторы автовышки; машинист автогидроподъемника; оператор автогидроподъемника; машинисты автогидроподъемника; операторы автогидроподъемника; машинист автовышки и автогидроподъемника</x:v>
      </x:c>
      <x:c r="H17" s="6" t="str">
        <x:v>Объединенная страница специалиста: «автовышка» и «автогидроподъемник» относятся к одному специалисту; отдельная страница АГП не создается.</x:v>
      </x:c>
    </x:row>
    <x:row r="18" ht="39.599998474121094" customHeight="1">
      <x:c r="A18" t="n">
        <x:v>3</x:v>
      </x:c>
      <x:c r="B18" t="str">
        <x:v>машинисты спецтехники</x:v>
      </x:c>
      <x:c r="C18" t="str">
        <x:v>Моторист цементировочного агрегата</x:v>
      </x:c>
      <x:c r="D18" t="str">
        <x:v>/mashinisty-spetstehniki/motorist-tsementirovochnogo-agregata/</x:v>
      </x:c>
      <x:c r="E18" t="str">
        <x:v>Отбор мотористов цементировочного агрегата для объектов</x:v>
      </x:c>
      <x:c r="F18" t="str">
        <x:v>моторист цементировочного агр</x:v>
      </x:c>
      <x:c r="G18" t="str">
        <x:v>моторист цементировочного агрегата; подбор моториста цементировочного агрегата</x:v>
      </x:c>
      <x:c r="H18" t="str">
        <x:v>Добавлено 22.10.2026. Запланировано. Частотности не проверены. Рабочий родитель; публикация после подготовки и приёмки.</x:v>
      </x:c>
    </x:row>
    <x:row r="19" ht="39.599998474121094" customHeight="1">
      <x:c r="A19" s="6" t="n">
        <x:v>3</x:v>
      </x:c>
      <x:c r="B19" s="6" t="str">
        <x:v>машинисты спецтехники</x:v>
      </x:c>
      <x:c r="C19" s="7" t="str">
        <x:v>Слесарь по ремонту ДСТ</x:v>
      </x:c>
      <x:c r="D19" s="7" t="str">
        <x:v>/mashinisty-spetstehniki/slesar-po-remontu-dst/</x:v>
      </x:c>
      <x:c r="E19" s="7" t="str">
        <x:v>Отбор слесарей по ремонту ДСТ для объектов</x:v>
      </x:c>
      <x:c r="F19" s="6" t="str">
        <x:v>слесарь по ремонту ДСТ</x:v>
      </x:c>
      <x:c r="G19" s="6" t="str">
        <x:v>слесарь по ремонту дорожно-строительных машин и тракторов; подбор слесаря по ремонту дорожно-строительной техники и тракторов; найти слесаря по ремонту техники; подбор и найм слесаря по ремонту дорожно-строительной техники; слесарь по ремонту ДСТ</x:v>
      </x:c>
      <x:c r="H19" s="6" t="str">
        <x:v>Добавлено 22.10.2026. Запланировано. Частотности не проверены. Рабочий родитель; публикация после подготовки и приёмки.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2" customWidth="1"/>
    <x:col min="4" max="4" width="45" customWidth="1"/>
  </x:cols>
  <x:sheetData>
    <x:row r="1">
      <x:c r="A1" s="8" t="inlineStr">
        <x:is>
          <x:t xml:space="preserve">Уровень 1</x:t>
        </x:is>
      </x:c>
      <x:c r="B1" s="8" t="inlineStr">
        <x:is>
          <x:t xml:space="preserve">Уровень 2</x:t>
        </x:is>
      </x:c>
      <x:c r="C1" s="8" t="inlineStr">
        <x:is>
          <x:t xml:space="preserve">Уровень 3</x:t>
        </x:is>
      </x:c>
      <x:c r="D1" s="8" t="inlineStr">
        <x:is>
          <x:t xml:space="preserve">URL</x:t>
        </x:is>
      </x:c>
    </x:row>
    <x:row r="2">
      <x:c r="A2" s="6" t="inlineStr">
        <x:is>
          <x:t xml:space="preserve">Главная</x:t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>/</x:t>
        </x:is>
      </x:c>
    </x:row>
    <x:row r="3">
      <x:c r="A3" s="6" t="inlineStr">
        <x:is>
          <x:t xml:space="preserve">Главная</x:t>
        </x:is>
      </x:c>
      <x:c r="B3" s="6" t="inlineStr">
        <x:is>
          <x:t xml:space="preserve">водитель спецтехника</x:t>
        </x:is>
      </x:c>
      <x:c r="C3" s="6" t="inlineStr">
        <x:is>
          <x:t xml:space="preserve"/>
        </x:is>
      </x:c>
      <x:c r="D3" s="6" t="inlineStr">
        <x:is>
          <x:t xml:space="preserve">/voditel-spetstehnika/</x:t>
        </x:is>
      </x:c>
    </x:row>
    <x:row r="4">
      <x:c r="A4" s="6" t="inlineStr">
        <x:is>
          <x:t xml:space="preserve">Главная</x:t>
        </x:is>
      </x:c>
      <x:c r="B4" s="6" t="inlineStr">
        <x:is>
          <x:t xml:space="preserve">водитель спецтехника</x:t>
        </x:is>
      </x:c>
      <x:c r="C4" s="6" t="inlineStr">
        <x:is>
          <x:t xml:space="preserve">водитель грузового автомобиля</x:t>
        </x:is>
      </x:c>
      <x:c r="D4" s="6" t="inlineStr">
        <x:is>
          <x:t xml:space="preserve">/voditel-spetstehnika/voditel-gruzovogo-avtomobilya/</x:t>
        </x:is>
      </x:c>
    </x:row>
    <x:row r="5">
      <x:c r="A5" s="6" t="inlineStr">
        <x:is>
          <x:t xml:space="preserve">Главная</x:t>
        </x:is>
      </x:c>
      <x:c r="B5" s="6" t="inlineStr">
        <x:is>
          <x:t xml:space="preserve">водитель спецтехника</x:t>
        </x:is>
      </x:c>
      <x:c r="C5" s="6" t="inlineStr">
        <x:is>
          <x:t xml:space="preserve">водитель погрузчика</x:t>
        </x:is>
      </x:c>
      <x:c r="D5" s="6" t="inlineStr">
        <x:is>
          <x:t xml:space="preserve">/voditel-spetstehnika/voditel-pogruzchika/</x:t>
        </x:is>
      </x:c>
    </x:row>
    <x:row r="6">
      <x:c r="A6" s="6" t="inlineStr">
        <x:is>
          <x:t xml:space="preserve">Главная</x:t>
        </x:is>
      </x:c>
      <x:c r="B6" s="6" t="inlineStr">
        <x:is>
          <x:t xml:space="preserve">водитель спецтехника</x:t>
        </x:is>
      </x:c>
      <x:c r="C6" s="6" t="inlineStr">
        <x:is>
          <x:t xml:space="preserve">водитель самосвала</x:t>
        </x:is>
      </x:c>
      <x:c r="D6" s="6" t="inlineStr">
        <x:is>
          <x:t xml:space="preserve">/voditel-spetstehnika/voditel-samosvala/</x:t>
        </x:is>
      </x:c>
    </x:row>
    <x:row r="7">
      <x:c r="A7" s="6" t="inlineStr">
        <x:is>
          <x:t xml:space="preserve">Главная</x:t>
        </x:is>
      </x:c>
      <x:c r="B7" s="6" t="inlineStr">
        <x:is>
          <x:t xml:space="preserve">водитель спецтехника</x:t>
        </x:is>
      </x:c>
      <x:c r="C7" s="6" t="inlineStr">
        <x:is>
          <x:t xml:space="preserve">водитель тягача</x:t>
        </x:is>
      </x:c>
      <x:c r="D7" s="6" t="inlineStr">
        <x:is>
          <x:t xml:space="preserve">/voditel-spetstehnika/voditel-tyagacha/</x:t>
        </x:is>
      </x:c>
    </x:row>
    <x:row r="8">
      <x:c r="A8" s="6" t="inlineStr">
        <x:is>
          <x:t xml:space="preserve">Главная</x:t>
        </x:is>
      </x:c>
      <x:c r="B8" s="6" t="inlineStr">
        <x:is>
          <x:t xml:space="preserve">водитель спецтехника</x:t>
        </x:is>
      </x:c>
      <x:c r="C8" s="6" t="inlineStr">
        <x:is>
          <x:t xml:space="preserve">Топливозаправщик</x:t>
        </x:is>
      </x:c>
      <x:c r="D8" s="6" t="inlineStr">
        <x:is>
          <x:t xml:space="preserve">/voditel-spetstehnika/toplivozapravschik/</x:t>
        </x:is>
      </x:c>
    </x:row>
    <x:row r="9">
      <x:c r="A9" s="6" t="inlineStr">
        <x:is>
          <x:t xml:space="preserve">Главная</x:t>
        </x:is>
      </x:c>
      <x:c r="B9" s="6" t="inlineStr">
        <x:is>
          <x:t xml:space="preserve">водитель спецтехника</x:t>
        </x:is>
      </x:c>
      <x:c r="C9" s="6" t="inlineStr">
        <x:is>
          <x:t xml:space="preserve">водитель трала</x:t>
        </x:is>
      </x:c>
      <x:c r="D9" s="6" t="inlineStr">
        <x:is>
          <x:t xml:space="preserve">/voditel-spetstehnika/voditel-trala/</x:t>
        </x:is>
      </x:c>
    </x:row>
    <x:row r="10">
      <x:c r="A10" s="6" t="inlineStr">
        <x:is>
          <x:t xml:space="preserve">Главная</x:t>
        </x:is>
      </x:c>
      <x:c r="B10" s="6" t="inlineStr">
        <x:is>
          <x:t xml:space="preserve">водитель спецтехника</x:t>
        </x:is>
      </x:c>
      <x:c r="C10" s="6" t="inlineStr">
        <x:is>
          <x:t xml:space="preserve">водитель вездехода</x:t>
        </x:is>
      </x:c>
      <x:c r="D10" s="6" t="inlineStr">
        <x:is>
          <x:t xml:space="preserve">/voditel-spetstehnika/voditel-vezdehoda/</x:t>
        </x:is>
      </x:c>
    </x:row>
    <x:row r="11">
      <x:c r="A11" s="6" t="inlineStr">
        <x:is>
          <x:t xml:space="preserve">Главная</x:t>
        </x:is>
      </x:c>
      <x:c r="B11" s="6" t="inlineStr">
        <x:is>
          <x:t xml:space="preserve">водитель спецтехника</x:t>
        </x:is>
      </x:c>
      <x:c r="C11" s="6" t="inlineStr">
        <x:is>
          <x:t xml:space="preserve">водитель ломовоза</x:t>
        </x:is>
      </x:c>
      <x:c r="D11" s="6" t="inlineStr">
        <x:is>
          <x:t xml:space="preserve">/voditel-spetstehnika/voditel-lomovoza/</x:t>
        </x:is>
      </x:c>
    </x:row>
    <x:row r="12">
      <x:c r="A12" s="6" t="inlineStr">
        <x:is>
          <x:t xml:space="preserve">Главная</x:t>
        </x:is>
      </x:c>
      <x:c r="B12" s="6" t="inlineStr">
        <x:is>
          <x:t xml:space="preserve">машинисты спецтехники</x:t>
        </x:is>
      </x:c>
      <x:c r="C12" s="6" t="inlineStr">
        <x:is>
          <x:t xml:space="preserve"/>
        </x:is>
      </x:c>
      <x:c r="D12" s="6" t="inlineStr">
        <x:is>
          <x:t xml:space="preserve">/mashinisty-spetstehniki/</x:t>
        </x:is>
      </x:c>
    </x:row>
    <x:row r="13">
      <x:c r="A13" s="6" t="inlineStr">
        <x:is>
          <x:t xml:space="preserve">Главная</x:t>
        </x:is>
      </x:c>
      <x:c r="B13" s="6" t="inlineStr">
        <x:is>
          <x:t xml:space="preserve">машинисты спецтехники</x:t>
        </x:is>
      </x:c>
      <x:c r="C13" s="6" t="inlineStr">
        <x:is>
          <x:t xml:space="preserve">бульдозеристы</x:t>
        </x:is>
      </x:c>
      <x:c r="D13" s="6" t="inlineStr">
        <x:is>
          <x:t xml:space="preserve">/mashinisty-spetstehniki/buldozeristy/</x:t>
        </x:is>
      </x:c>
    </x:row>
    <x:row r="14">
      <x:c r="A14" s="6" t="inlineStr">
        <x:is>
          <x:t xml:space="preserve">Главная</x:t>
        </x:is>
      </x:c>
      <x:c r="B14" s="6" t="inlineStr">
        <x:is>
          <x:t xml:space="preserve">машинисты спецтехники</x:t>
        </x:is>
      </x:c>
      <x:c r="C14" s="6" t="inlineStr">
        <x:is>
          <x:t xml:space="preserve">машинист трубоукладчика</x:t>
        </x:is>
      </x:c>
      <x:c r="D14" s="6" t="inlineStr">
        <x:is>
          <x:t xml:space="preserve">/mashinisty-spetstehniki/mashinist-truboukladchika/</x:t>
        </x:is>
      </x:c>
    </x:row>
    <x:row r="15">
      <x:c r="A15" s="6" t="inlineStr">
        <x:is>
          <x:t xml:space="preserve">Главная</x:t>
        </x:is>
      </x:c>
      <x:c r="B15" s="6" t="inlineStr">
        <x:is>
          <x:t xml:space="preserve">машинисты спецтехники</x:t>
        </x:is>
      </x:c>
      <x:c r="C15" s="6" t="inlineStr">
        <x:is>
          <x:t xml:space="preserve">экскаваторщик</x:t>
        </x:is>
      </x:c>
      <x:c r="D15" s="6" t="inlineStr">
        <x:is>
          <x:t xml:space="preserve">/mashinisty-spetstehniki/ekskavatorschik/</x:t>
        </x:is>
      </x:c>
    </x:row>
    <x:row r="16">
      <x:c r="A16" s="6" t="inlineStr">
        <x:is>
          <x:t xml:space="preserve">Главная</x:t>
        </x:is>
      </x:c>
      <x:c r="B16" s="6" t="inlineStr">
        <x:is>
          <x:t xml:space="preserve">машинисты спецтехники</x:t>
        </x:is>
      </x:c>
      <x:c r="C16" s="6" t="inlineStr">
        <x:is>
          <x:t xml:space="preserve">машинисты автокрана</x:t>
        </x:is>
      </x:c>
      <x:c r="D16" s="6" t="inlineStr">
        <x:is>
          <x:t xml:space="preserve">/mashinisty-spetstehniki/mashinisty-avtokrana/</x:t>
        </x:is>
      </x:c>
    </x:row>
    <x:row r="17">
      <x:c r="A17" s="6" t="str">
        <x:v>Главная</x:v>
      </x:c>
      <x:c r="B17" s="6" t="str">
        <x:v>машинисты спецтехники</x:v>
      </x:c>
      <x:c r="C17" s="6" t="str">
        <x:v>машинист автовышки и автогидроподъемника</x:v>
      </x:c>
      <x:c r="D17" s="6" t="str">
        <x:v>/mashinisty-spetstehniki/mashinist-avtovyshki/</x:v>
      </x:c>
    </x:row>
    <x:row r="18" ht="26.399999618530273" customHeight="1">
      <x:c r="A18" t="str">
        <x:v>Главная</x:v>
      </x:c>
      <x:c r="B18" t="str">
        <x:v>машинисты спецтехники</x:v>
      </x:c>
      <x:c r="C18" t="str">
        <x:v>Моторист цементировочного агрегата</x:v>
      </x:c>
      <x:c r="D18" t="str">
        <x:v>/mashinisty-spetstehniki/motorist-tsementirovochnogo-agregata/</x:v>
      </x:c>
    </x:row>
    <x:row r="19" ht="15" customHeight="1">
      <x:c r="A19" s="6" t="str">
        <x:v>Главная</x:v>
      </x:c>
      <x:c r="B19" s="6" t="str">
        <x:v>машинисты спецтехники</x:v>
      </x:c>
      <x:c r="C19" s="6" t="str">
        <x:v>Слесарь по ремонту ДСТ</x:v>
      </x:c>
      <x:c r="D19" s="6" t="str">
        <x:v>/mashinisty-spetstehniki/slesar-po-remontu-dst/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4" customWidth="1"/>
    <x:col min="3" max="3" width="45" customWidth="1"/>
    <x:col min="4" max="4" width="12" customWidth="1"/>
    <x:col min="5" max="5" width="80" customWidth="1"/>
  </x:cols>
  <x:sheetData>
    <x:row r="1">
      <x:c r="A1" s="9" t="inlineStr">
        <x:is>
          <x:t xml:space="preserve">Вкладка ядра</x:t>
        </x:is>
      </x:c>
      <x:c r="B1" s="9" t="inlineStr">
        <x:is>
          <x:t xml:space="preserve">Тип страницы</x:t>
        </x:is>
      </x:c>
      <x:c r="C1" s="9" t="inlineStr">
        <x:is>
          <x:t xml:space="preserve">URL</x:t>
        </x:is>
      </x:c>
      <x:c r="D1" s="9" t="inlineStr">
        <x:is>
          <x:t xml:space="preserve">Кол-во фраз</x:t>
        </x:is>
      </x:c>
      <x:c r="E1" s="9" t="inlineStr">
        <x:is>
          <x:t xml:space="preserve">Первые ключи</x:t>
        </x:is>
      </x:c>
    </x:row>
    <x:row r="2">
      <x:c r="A2" s="6" t="inlineStr">
        <x:is>
          <x:t xml:space="preserve">Подбор персонала / Главная</x:t>
        </x:is>
      </x:c>
      <x:c r="B2" s="6" t="inlineStr">
        <x:is>
          <x:t xml:space="preserve">Главная</x:t>
        </x:is>
      </x:c>
      <x:c r="C2" s="6" t="inlineStr">
        <x:is>
          <x:t xml:space="preserve">/</x:t>
        </x:is>
      </x:c>
      <x:c r="D2" s="6" t="n">
        <x:v>149</x:v>
      </x:c>
      <x:c r="E2" s="6" t="inlineStr">
        <x:is>
          <x:t xml:space="preserve">подбор персонала; подбор персонала быстро; подбор вахтового персонала; аутсорсинг подбора персонала; подбор строительного персонала</x:t>
        </x:is>
      </x:c>
    </x:row>
    <x:row r="3">
      <x:c r="A3" s="6" t="inlineStr">
        <x:is>
          <x:t xml:space="preserve">водитель спецтехника</x:t>
        </x:is>
      </x:c>
      <x:c r="B3" s="6" t="inlineStr">
        <x:is>
          <x:t xml:space="preserve">Категория</x:t>
        </x:is>
      </x:c>
      <x:c r="C3" s="6" t="inlineStr">
        <x:is>
          <x:t xml:space="preserve">/voditel-spetstehnika/</x:t>
        </x:is>
      </x:c>
      <x:c r="D3" s="6" t="n">
        <x:v>65</x:v>
      </x:c>
      <x:c r="E3" s="6" t="inlineStr">
        <x:is>
          <x:t xml:space="preserve">требуются водители спецтехники; водитель спецтехники; машинист спецтехники; водитель оператор спецтехники; резюме водителя спецтехники</x:t>
        </x:is>
      </x:c>
    </x:row>
    <x:row r="4">
      <x:c r="A4" s="6" t="inlineStr">
        <x:is>
          <x:t xml:space="preserve">водитель грузового автомобиля</x:t>
        </x:is>
      </x:c>
      <x:c r="B4" s="6" t="inlineStr">
        <x:is>
          <x:t xml:space="preserve">Дочерняя</x:t>
        </x:is>
      </x:c>
      <x:c r="C4" s="6" t="inlineStr">
        <x:is>
          <x:t xml:space="preserve">/voditel-spetstehnika/voditel-gruzovogo-avtomobilya/</x:t>
        </x:is>
      </x:c>
      <x:c r="D4" s="6" t="n">
        <x:v>36</x:v>
      </x:c>
      <x:c r="E4" s="6" t="inlineStr">
        <x:is>
          <x:t xml:space="preserve">водители грузового автомобиля; аутсорсинг водителей грузовых автомобилей; биржа водителей грузовых автомобилей; услуги водителя грузового автомобиля; водитель грузового автомобиля требуется</x:t>
        </x:is>
      </x:c>
    </x:row>
    <x:row r="5">
      <x:c r="A5" s="6" t="inlineStr">
        <x:is>
          <x:t xml:space="preserve">водитель погрузчика</x:t>
        </x:is>
      </x:c>
      <x:c r="B5" s="6" t="inlineStr">
        <x:is>
          <x:t xml:space="preserve">Дочерняя</x:t>
        </x:is>
      </x:c>
      <x:c r="C5" s="6" t="inlineStr">
        <x:is>
          <x:t xml:space="preserve">/voditel-spetstehnika/voditel-pogruzchika/</x:t>
        </x:is>
      </x:c>
      <x:c r="D5" s="6" t="n">
        <x:v>19</x:v>
      </x:c>
      <x:c r="E5" s="6" t="inlineStr">
        <x:is>
          <x:t xml:space="preserve">водитель погрузчика вахта; вахта водитель погрузчика; водитель фронтального погрузчика вахта; вахта водитель фронтального погрузчика; вахта водитель погрузчика фронтального</x:t>
        </x:is>
      </x:c>
    </x:row>
    <x:row r="6">
      <x:c r="A6" s="6" t="inlineStr">
        <x:is>
          <x:t xml:space="preserve">водитель самосвала</x:t>
        </x:is>
      </x:c>
      <x:c r="B6" s="6" t="inlineStr">
        <x:is>
          <x:t xml:space="preserve">Дочерняя</x:t>
        </x:is>
      </x:c>
      <x:c r="C6" s="6" t="inlineStr">
        <x:is>
          <x:t xml:space="preserve">/voditel-spetstehnika/voditel-samosvala/</x:t>
        </x:is>
      </x:c>
      <x:c r="D6" s="6" t="n">
        <x:v>35</x:v>
      </x:c>
      <x:c r="E6" s="6" t="inlineStr">
        <x:is>
          <x:t xml:space="preserve">водитель самосвала; водитель самосвала вахта; вахта север водитель самосвала; вахта водитель самосвала; водитель самосвала вахта север</x:t>
        </x:is>
      </x:c>
    </x:row>
    <x:row r="7">
      <x:c r="A7" s="6" t="inlineStr">
        <x:is>
          <x:t xml:space="preserve">водитель тягача</x:t>
        </x:is>
      </x:c>
      <x:c r="B7" s="6" t="inlineStr">
        <x:is>
          <x:t xml:space="preserve">Дочерняя</x:t>
        </x:is>
      </x:c>
      <x:c r="C7" s="6" t="inlineStr">
        <x:is>
          <x:t xml:space="preserve">/voditel-spetstehnika/voditel-tyagacha/</x:t>
        </x:is>
      </x:c>
      <x:c r="D7" s="6" t="n">
        <x:v>18</x:v>
      </x:c>
      <x:c r="E7" s="6" t="inlineStr">
        <x:is>
          <x:t xml:space="preserve">водитель тягача; водитель портового тягача; механик водитель дежурного тягача; водитель дежурного тягача; водитель тягача портового</x:t>
        </x:is>
      </x:c>
    </x:row>
    <x:row r="8">
      <x:c r="A8" s="6" t="inlineStr">
        <x:is>
          <x:t xml:space="preserve">Топливозаправщик</x:t>
        </x:is>
      </x:c>
      <x:c r="B8" s="6" t="inlineStr">
        <x:is>
          <x:t xml:space="preserve">Дочерняя</x:t>
        </x:is>
      </x:c>
      <x:c r="C8" s="6" t="inlineStr">
        <x:is>
          <x:t xml:space="preserve">/voditel-spetstehnika/toplivozapravschik/</x:t>
        </x:is>
      </x:c>
      <x:c r="D8" s="6" t="n">
        <x:v>6</x:v>
      </x:c>
      <x:c r="E8" s="6" t="inlineStr">
        <x:is>
          <x:t xml:space="preserve">вахта водитель топливозаправщика; водитель топливозаправщика вахта; вахта водитель категории е допог; водитель допог вахта прямой работодатель; водитель допог вахта</x:t>
        </x:is>
      </x:c>
    </x:row>
    <x:row r="9">
      <x:c r="A9" s="6" t="inlineStr">
        <x:is>
          <x:t xml:space="preserve">водитель трала</x:t>
        </x:is>
      </x:c>
      <x:c r="B9" s="6" t="inlineStr">
        <x:is>
          <x:t xml:space="preserve">Дочерняя</x:t>
        </x:is>
      </x:c>
      <x:c r="C9" s="6" t="inlineStr">
        <x:is>
          <x:t xml:space="preserve">/voditel-spetstehnika/voditel-trala/</x:t>
        </x:is>
      </x:c>
      <x:c r="D9" s="6" t="n">
        <x:v>22</x:v>
      </x:c>
      <x:c r="E9" s="6" t="inlineStr">
        <x:is>
          <x:t xml:space="preserve">водитель трала; водитель трала категория прав; водитель на трал требуется; требуется водитель на трал; водитель е трал вахта</x:t>
        </x:is>
      </x:c>
    </x:row>
    <x:row r="10">
      <x:c r="A10" s="6" t="inlineStr">
        <x:is>
          <x:t xml:space="preserve">водитель вездехода</x:t>
        </x:is>
      </x:c>
      <x:c r="B10" s="6" t="inlineStr">
        <x:is>
          <x:t xml:space="preserve">Дочерняя</x:t>
        </x:is>
      </x:c>
      <x:c r="C10" s="6" t="inlineStr">
        <x:is>
          <x:t xml:space="preserve">/voditel-spetstehnika/voditel-vezdehoda/</x:t>
        </x:is>
      </x:c>
      <x:c r="D10" s="6" t="n">
        <x:v>38</x:v>
      </x:c>
      <x:c r="E10" s="6" t="inlineStr">
        <x:is>
          <x:t xml:space="preserve">водитель вездехода; водитель вездехода категория е; водитель гусеничного вездехода; водитель вездехода 6 разряда; водитель вездехода какая категория</x:t>
        </x:is>
      </x:c>
    </x:row>
    <x:row r="11">
      <x:c r="A11" s="6" t="inlineStr">
        <x:is>
          <x:t xml:space="preserve">водитель ломовоза</x:t>
        </x:is>
      </x:c>
      <x:c r="B11" s="6" t="inlineStr">
        <x:is>
          <x:t xml:space="preserve">Дочерняя</x:t>
        </x:is>
      </x:c>
      <x:c r="C11" s="6" t="inlineStr">
        <x:is>
          <x:t xml:space="preserve">/voditel-spetstehnika/voditel-lomovoza/</x:t>
        </x:is>
      </x:c>
      <x:c r="D11" s="6" t="n">
        <x:v>6</x:v>
      </x:c>
      <x:c r="E11" s="6" t="inlineStr">
        <x:is>
          <x:t xml:space="preserve">водитель ломовоза; водитель ломовоза с манипулятором; водитель ломовоза категории е; водителем ломовоза; водитель ломовоза вахта</x:t>
        </x:is>
      </x:c>
    </x:row>
    <x:row r="12">
      <x:c r="A12" s="6" t="inlineStr">
        <x:is>
          <x:t xml:space="preserve">машинисты спецтехники</x:t>
        </x:is>
      </x:c>
      <x:c r="B12" s="6" t="inlineStr">
        <x:is>
          <x:t xml:space="preserve">Категория</x:t>
        </x:is>
      </x:c>
      <x:c r="C12" s="6" t="inlineStr">
        <x:is>
          <x:t xml:space="preserve">/mashinisty-spetstehniki/</x:t>
        </x:is>
      </x:c>
      <x:c r="D12" s="6" t="n">
        <x:v>5</x:v>
      </x:c>
      <x:c r="E12" s="6" t="inlineStr">
        <x:is>
          <x:t xml:space="preserve">машинисты спецтехники; водитель на спецтехнику; машинист спецтехники вахта; машинист спецтехника; машинист на спецтехнику</x:t>
        </x:is>
      </x:c>
    </x:row>
    <x:row r="13">
      <x:c r="A13" s="6" t="inlineStr">
        <x:is>
          <x:t xml:space="preserve">бульдозеристы</x:t>
        </x:is>
      </x:c>
      <x:c r="B13" s="6" t="inlineStr">
        <x:is>
          <x:t xml:space="preserve">Дочерняя</x:t>
        </x:is>
      </x:c>
      <x:c r="C13" s="6" t="inlineStr">
        <x:is>
          <x:t xml:space="preserve">/mashinisty-spetstehniki/buldozeristy/</x:t>
        </x:is>
      </x:c>
      <x:c r="D13" s="6" t="n">
        <x:v>55</x:v>
      </x:c>
      <x:c r="E13" s="6" t="inlineStr">
        <x:is>
          <x:t xml:space="preserve">машинисты бульдозера; машинист бульдозера; машинист бульдозера вахта; водитель бульдозера; вахта бульдозерист</x:t>
        </x:is>
      </x:c>
    </x:row>
    <x:row r="14">
      <x:c r="A14" s="6" t="inlineStr">
        <x:is>
          <x:t xml:space="preserve">машинист трубоукладчика</x:t>
        </x:is>
      </x:c>
      <x:c r="B14" s="6" t="inlineStr">
        <x:is>
          <x:t xml:space="preserve">Дочерняя</x:t>
        </x:is>
      </x:c>
      <x:c r="C14" s="6" t="inlineStr">
        <x:is>
          <x:t xml:space="preserve">/mashinisty-spetstehniki/mashinist-truboukladchika/</x:t>
        </x:is>
      </x:c>
      <x:c r="D14" s="6" t="n">
        <x:v>12</x:v>
      </x:c>
      <x:c r="E14" s="6" t="inlineStr">
        <x:is>
          <x:t xml:space="preserve">машинист трубоукладчика; машинисты трубоукладчика; машинист трубоукладчика резюме; 14277 машинист трубоукладчика; требуется машинист трубоукладчика</x:t>
        </x:is>
      </x:c>
    </x:row>
    <x:row r="15">
      <x:c r="A15" s="6" t="inlineStr">
        <x:is>
          <x:t xml:space="preserve">экскаваторщик</x:t>
        </x:is>
      </x:c>
      <x:c r="B15" s="6" t="inlineStr">
        <x:is>
          <x:t xml:space="preserve">Дочерняя</x:t>
        </x:is>
      </x:c>
      <x:c r="C15" s="6" t="inlineStr">
        <x:is>
          <x:t xml:space="preserve">/mashinisty-spetstehniki/ekskavatorschik/</x:t>
        </x:is>
      </x:c>
      <x:c r="D15" s="6" t="n">
        <x:v>51</x:v>
      </x:c>
      <x:c r="E15" s="6" t="inlineStr">
        <x:is>
          <x:t xml:space="preserve">машинист экскаватора; машинисты экскаватора; водитель экскаватора; водитель погрузчика экскаватора; водитель экскаватора погрузчика</x:t>
        </x:is>
      </x:c>
    </x:row>
    <x:row r="16">
      <x:c r="A16" s="6" t="inlineStr">
        <x:is>
          <x:t xml:space="preserve">машинисты автокрана</x:t>
        </x:is>
      </x:c>
      <x:c r="B16" s="6" t="inlineStr">
        <x:is>
          <x:t xml:space="preserve">Дочерняя</x:t>
        </x:is>
      </x:c>
      <x:c r="C16" s="6" t="inlineStr">
        <x:is>
          <x:t xml:space="preserve">/mashinisty-spetstehniki/mashinisty-avtokrana/</x:t>
        </x:is>
      </x:c>
      <x:c r="D16" s="6" t="n">
        <x:v>90</x:v>
      </x:c>
      <x:c r="E16" s="6" t="inlineStr">
        <x:is>
          <x:t xml:space="preserve">машинист автокрана; машинист крана автомобильного; автокрановщик; машинисты автокрана; автокрановщики</x:t>
        </x:is>
      </x:c>
    </x:row>
    <x:row r="17">
      <x:c r="A17" s="6" t="str">
        <x:v>машинист автовышки и автогидроподъемника</x:v>
      </x:c>
      <x:c r="B17" s="6" t="str">
        <x:v>Дочерняя</x:v>
      </x:c>
      <x:c r="C17" s="6" t="str">
        <x:v>/mashinisty-spetstehniki/mashinist-avtovyshki/</x:v>
      </x:c>
      <x:c r="D17" s="6" t="n">
        <x:v>26</x:v>
      </x:c>
      <x:c r="E17" s="6" t="str">
        <x:v>машинист автовышки; оператор автовышки; машинист автогидроподъемника; оператор автогидроподъемника; машинист автовышки и автогидроподъемника</x:v>
      </x:c>
    </x:row>
    <x:row r="18" ht="26.399999618530273" customHeight="1">
      <x:c r="A18" t="str">
        <x:v>моторист цементировочного агр</x:v>
      </x:c>
      <x:c r="B18" t="str">
        <x:v>Дочерняя, план</x:v>
      </x:c>
      <x:c r="C18" t="str">
        <x:v>/mashinisty-spetstehniki/motorist-tsementirovochnogo-agregata/</x:v>
      </x:c>
      <x:c r="D18" t="n">
        <x:v>2</x:v>
      </x:c>
      <x:c r="E18" t="str">
        <x:v>моторист цементировочного агрегата; подбор моториста цементировочного агрегата</x:v>
      </x:c>
    </x:row>
    <x:row r="19" ht="39.599998474121094" customHeight="1">
      <x:c r="A19" s="6" t="str">
        <x:v>слесарь по ремонту ДСТ</x:v>
      </x:c>
      <x:c r="B19" s="6" t="str">
        <x:v>Дочерняя, план</x:v>
      </x:c>
      <x:c r="C19" s="6" t="str">
        <x:v>/mashinisty-spetstehniki/slesar-po-remontu-dst/</x:v>
      </x:c>
      <x:c r="D19" s="6" t="n">
        <x:v>5</x:v>
      </x:c>
      <x:c r="E19" s="6" t="str">
        <x:v>слесарь по ремонту дорожно-строительных машин и тракторов; подбор слесаря по ремонту дорожно-строительной техники и тракторов; найти слесаря по ремонту техники; подбор и найм слесаря по ремонту дорожно-строительной техники; слесарь по ремонту ДСТ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5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12" t="str">
        <x:v>Пункт 1. Контроль структуры сайта</x:v>
      </x:c>
    </x:row>
    <x:row r="2" ht="30" customHeight="1">
      <x:c r="A2" s="16" t="str">
        <x:v>Статус документа: НА СОГЛАСОВАНИИ. После прямого утверждения пользователя версия может быть заморожена как обязательная для пунктов 2–25.</x:v>
      </x:c>
    </x:row>
    <x:row r="4">
      <x:c r="A4" s="21" t="str">
        <x:v>Показатель</x:v>
      </x:c>
      <x:c r="B4" s="21" t="str">
        <x:v>Значение</x:v>
      </x:c>
      <x:c r="D4" s="21" t="str">
        <x:v>Вывод аудита</x:v>
      </x:c>
      <x:c r="E4" s="21"/>
      <x:c r="F4" s="21"/>
      <x:c r="G4" s="21"/>
      <x:c r="H4" s="21"/>
    </x:row>
    <x:row r="5">
      <x:c r="A5" s="27" t="str">
        <x:v>Всего федеральных страниц</x:v>
      </x:c>
      <x:c r="B5" s="33" t="n">
        <x:f>COUNTA('Паспорт структуры'!A5:A22)</x:f>
        <x:v>18</x:v>
      </x:c>
      <x:c r="D5" s="54" t="str">
        <x:v>Исходная SEO-структура расширена до 18 страниц: главная, 2 категории и 15 специалистов. Две новые страницы добавлены по решению пользователя 22.10.2026. Формулировки конкурентов сохранены отдельно от масок; частотности не проверены. Добавление в план не означает готовность к публикации.</x:v>
      </x:c>
      <x:c r="E5" s="55"/>
      <x:c r="F5" s="55"/>
      <x:c r="G5" s="55"/>
      <x:c r="H5" s="56"/>
    </x:row>
    <x:row r="6">
      <x:c r="A6" s="28" t="str">
        <x:v>Страниц уровня 1</x:v>
      </x:c>
      <x:c r="B6" s="34" t="n">
        <x:f>COUNTIF('Паспорт структуры'!B5:B22,1)</x:f>
        <x:v>1</x:v>
      </x:c>
      <x:c r="D6" s="57"/>
      <x:c r="E6" s="58"/>
      <x:c r="F6" s="58"/>
      <x:c r="G6" s="58"/>
      <x:c r="H6" s="59"/>
    </x:row>
    <x:row r="7">
      <x:c r="A7" s="28" t="str">
        <x:v>Страниц уровня 2</x:v>
      </x:c>
      <x:c r="B7" s="34" t="n">
        <x:f>COUNTIF('Паспорт структуры'!B5:B22,2)</x:f>
        <x:v>2</x:v>
      </x:c>
      <x:c r="D7" s="57"/>
      <x:c r="E7" s="58"/>
      <x:c r="F7" s="58"/>
      <x:c r="G7" s="58"/>
      <x:c r="H7" s="59"/>
    </x:row>
    <x:row r="8">
      <x:c r="A8" s="28" t="str">
        <x:v>Страниц уровня 3</x:v>
      </x:c>
      <x:c r="B8" s="34" t="n">
        <x:f>COUNTIF('Паспорт структуры'!B5:B22,3)</x:f>
        <x:v>15</x:v>
      </x:c>
      <x:c r="D8" s="57"/>
      <x:c r="E8" s="58"/>
      <x:c r="F8" s="58"/>
      <x:c r="G8" s="58"/>
      <x:c r="H8" s="59"/>
    </x:row>
    <x:row r="9">
      <x:c r="A9" s="28" t="str">
        <x:v>Высоких рисков каннибализации</x:v>
      </x:c>
      <x:c r="B9" s="34" t="n">
        <x:f>COUNTIF('Паспорт структуры'!L5:L22,"Высокий")</x:f>
        <x:v>0</x:v>
      </x:c>
      <x:c r="D9" s="60"/>
      <x:c r="E9" s="61"/>
      <x:c r="F9" s="61"/>
      <x:c r="G9" s="61"/>
      <x:c r="H9" s="62"/>
    </x:row>
    <x:row r="11">
      <x:c r="A11" s="21" t="str">
        <x:v>Условия завершения пункта</x:v>
      </x:c>
      <x:c r="B11" s="21"/>
      <x:c r="C11" s="21"/>
      <x:c r="D11" s="21"/>
      <x:c r="E11" s="21"/>
      <x:c r="F11" s="21"/>
      <x:c r="G11" s="21"/>
      <x:c r="H11" s="21"/>
    </x:row>
    <x:row r="12">
      <x:c r="A12" s="82" t="str">
        <x:v>Два новых URL и кластера добавлены 22.10.2026. Тексты, проверка частотностей, вёрстка и приёмка этих страниц впереди. Прежние статусы остальных страниц не пересматривались.</x:v>
      </x:c>
      <x:c r="B12" s="83"/>
      <x:c r="C12" s="83"/>
      <x:c r="D12" s="83"/>
      <x:c r="E12" s="83"/>
      <x:c r="F12" s="83"/>
      <x:c r="G12" s="83"/>
      <x:c r="H12" s="84"/>
    </x:row>
    <x:row r="13">
      <x:c r="A13" s="85"/>
      <x:c r="B13" s="86"/>
      <x:c r="C13" s="86"/>
      <x:c r="D13" s="86"/>
      <x:c r="E13" s="86"/>
      <x:c r="F13" s="86"/>
      <x:c r="G13" s="86"/>
      <x:c r="H13" s="87"/>
    </x:row>
    <x:row r="14">
      <x:c r="A14" s="85"/>
      <x:c r="B14" s="86"/>
      <x:c r="C14" s="86"/>
      <x:c r="D14" s="86"/>
      <x:c r="E14" s="86"/>
      <x:c r="F14" s="86"/>
      <x:c r="G14" s="86"/>
      <x:c r="H14" s="87"/>
    </x:row>
    <x:row r="15">
      <x:c r="A15" s="88"/>
      <x:c r="B15" s="89"/>
      <x:c r="C15" s="89"/>
      <x:c r="D15" s="89"/>
      <x:c r="E15" s="89"/>
      <x:c r="F15" s="89"/>
      <x:c r="G15" s="89"/>
      <x:c r="H15" s="90"/>
    </x:row>
  </x:sheetData>
  <x:mergeCells>
    <x:mergeCell ref="A1:H1"/>
    <x:mergeCell ref="A2:H2"/>
    <x:mergeCell ref="D4:H4"/>
    <x:mergeCell ref="D5:H9"/>
    <x:mergeCell ref="A11:H11"/>
    <x:mergeCell ref="A12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7.25" hidden="0" customWidth="1"/>
    <x:col min="3" max="3" width="10.630000114440918" hidden="0" customWidth="1"/>
    <x:col min="4" max="4" width="20.6299991607666" hidden="0" customWidth="1"/>
    <x:col min="5" max="5" width="36.25" hidden="0" customWidth="1"/>
    <x:col min="6" max="6" width="32.5" hidden="0" customWidth="1"/>
    <x:col min="7" max="7" width="23.75" hidden="0" customWidth="1"/>
    <x:col min="8" max="8" width="25.6299991607666" hidden="0" customWidth="1"/>
    <x:col min="9" max="9" width="21.25" hidden="0" customWidth="1"/>
    <x:col min="10" max="10" width="9" hidden="0" customWidth="1"/>
    <x:col min="11" max="11" width="33.75" hidden="0" customWidth="1"/>
    <x:col min="12" max="12" width="10.25" hidden="0" customWidth="1"/>
    <x:col min="13" max="13" width="11.25" hidden="0" customWidth="1"/>
    <x:col min="14" max="14" width="14.380000114440918" hidden="0" customWidth="1"/>
  </x:cols>
  <x:sheetData>
    <x:row r="1" ht="32" customHeight="1">
      <x:c r="A1" s="12" t="str">
        <x:v>Паспорт федерального главного зеркала</x:v>
      </x:c>
    </x:row>
    <x:row r="2" ht="30" customHeight="1">
      <x:c r="A2" s="16" t="str">
        <x:v>18 страниц SEO-структуры: 16 исходных и 2 новые запланированные. Региональные копии не создаются.</x:v>
      </x:c>
    </x:row>
    <x:row r="4" ht="42" customHeight="1">
      <x:c r="A4" s="21" t="str">
        <x:v>№</x:v>
      </x:c>
      <x:c r="B4" s="21" t="str">
        <x:v>Уровень</x:v>
      </x:c>
      <x:c r="C4" s="21" t="str">
        <x:v>Тип</x:v>
      </x:c>
      <x:c r="D4" s="21" t="str">
        <x:v>Страница</x:v>
      </x:c>
      <x:c r="E4" s="21" t="str">
        <x:v>Canonical URL</x:v>
      </x:c>
      <x:c r="F4" s="21" t="str">
        <x:v>Родитель</x:v>
      </x:c>
      <x:c r="G4" s="21" t="str">
        <x:v>H1 из утверждаемой структуры</x:v>
      </x:c>
      <x:c r="H4" s="21" t="str">
        <x:v>Проверенный H1</x:v>
      </x:c>
      <x:c r="I4" s="21" t="str">
        <x:v>Кластер ядра</x:v>
      </x:c>
      <x:c r="J4" s="21" t="str">
        <x:v>Фраз в источнике</x:v>
      </x:c>
      <x:c r="K4" s="21" t="str">
        <x:v>B2B-интент</x:v>
      </x:c>
      <x:c r="L4" s="21" t="str">
        <x:v>Риск</x:v>
      </x:c>
      <x:c r="M4" s="21" t="str">
        <x:v>Шаблон</x:v>
      </x:c>
      <x:c r="N4" s="21" t="str">
        <x:v>Статус</x:v>
      </x:c>
    </x:row>
    <x:row r="5" ht="62" customHeight="1">
      <x:c r="A5" s="91" t="n">
        <x:v>1</x:v>
      </x:c>
      <x:c r="B5" s="91" t="n">
        <x:v>1</x:v>
      </x:c>
      <x:c r="C5" s="91" t="str">
        <x:v>Главная</x:v>
      </x:c>
      <x:c r="D5" s="27" t="str">
        <x:v>Главная</x:v>
      </x:c>
      <x:c r="E5" s="27" t="str">
        <x:v>/</x:v>
      </x:c>
      <x:c r="F5" s="27" t="str">
        <x:v>—</x:v>
      </x:c>
      <x:c r="G5" s="27" t="str">
        <x:v>Подбор строительного персонала по всей России</x:v>
      </x:c>
      <x:c r="H5" s="27" t="str">
        <x:v>Подбор строительного персонала по всей России</x:v>
      </x:c>
      <x:c r="I5" s="27" t="str">
        <x:v>Подбор персонала / Главная</x:v>
      </x:c>
      <x:c r="J5" s="91" t="n">
        <x:v>149</x:v>
      </x:c>
      <x:c r="K5" s="27" t="str">
        <x:v>Подбор строительного персонала для компаний по всей России</x:v>
      </x:c>
      <x:c r="L5" s="91" t="str">
        <x:v>Средний</x:v>
      </x:c>
      <x:c r="M5" s="91" t="str">
        <x:v>Главная</x:v>
      </x:c>
      <x:c r="N5" s="91" t="str">
        <x:v>На согласовании</x:v>
      </x:c>
    </x:row>
    <x:row r="6" ht="62" customHeight="1">
      <x:c r="A6" s="92" t="n">
        <x:v>2</x:v>
      </x:c>
      <x:c r="B6" s="92" t="n">
        <x:v>2</x:v>
      </x:c>
      <x:c r="C6" s="92" t="str">
        <x:v>Категория</x:v>
      </x:c>
      <x:c r="D6" s="28" t="str">
        <x:v>Водители спецтехники</x:v>
      </x:c>
      <x:c r="E6" s="28" t="str">
        <x:v>/voditel-spetstehnika/</x:v>
      </x:c>
      <x:c r="F6" s="28" t="str">
        <x:v>/</x:v>
      </x:c>
      <x:c r="G6" s="28" t="str">
        <x:v>Подбор водителей спецтехники</x:v>
      </x:c>
      <x:c r="H6" s="28" t="str">
        <x:v>Подбор водителей спецтехники</x:v>
      </x:c>
      <x:c r="I6" s="28" t="str">
        <x:v>водитель спецтехника</x:v>
      </x:c>
      <x:c r="J6" s="92" t="n">
        <x:v>65</x:v>
      </x:c>
      <x:c r="K6" s="28" t="str">
        <x:v>Подбор водителей специальной и грузовой техники для объектов</x:v>
      </x:c>
      <x:c r="L6" s="92" t="str">
        <x:v>Средний</x:v>
      </x:c>
      <x:c r="M6" s="92" t="str">
        <x:v>Категория</x:v>
      </x:c>
      <x:c r="N6" s="92" t="str">
        <x:v>На согласовании</x:v>
      </x:c>
    </x:row>
    <x:row r="7" ht="62" customHeight="1">
      <x:c r="A7" s="92" t="n">
        <x:v>3</x:v>
      </x:c>
      <x:c r="B7" s="92" t="n">
        <x:v>3</x:v>
      </x:c>
      <x:c r="C7" s="92" t="str">
        <x:v>Специалист</x:v>
      </x:c>
      <x:c r="D7" s="28" t="str">
        <x:v>Водитель грузового автомобиля</x:v>
      </x:c>
      <x:c r="E7" s="28" t="str">
        <x:v>/voditel-spetstehnika/voditel-gruzovogo-avtomobilya/</x:v>
      </x:c>
      <x:c r="F7" s="28" t="str">
        <x:v>/voditel-spetstehnika/</x:v>
      </x:c>
      <x:c r="G7" s="28" t="str">
        <x:v>Подбор водителей грузовых автомобилей</x:v>
      </x:c>
      <x:c r="H7" s="28" t="str">
        <x:v>Подбор водителей грузовых автомобилей</x:v>
      </x:c>
      <x:c r="I7" s="28" t="str">
        <x:v>водитель грузового автомобиля</x:v>
      </x:c>
      <x:c r="J7" s="92" t="n">
        <x:v>36</x:v>
      </x:c>
      <x:c r="K7" s="28" t="str">
        <x:v>Подбор водителей грузовых автомобилей для строительных и производственных перевозок</x:v>
      </x:c>
      <x:c r="L7" s="92" t="str">
        <x:v>Средний</x:v>
      </x:c>
      <x:c r="M7" s="92" t="str">
        <x:v>Специалист</x:v>
      </x:c>
      <x:c r="N7" s="92" t="str">
        <x:v>На согласовании</x:v>
      </x:c>
    </x:row>
    <x:row r="8" ht="62" customHeight="1">
      <x:c r="A8" s="92" t="n">
        <x:v>4</x:v>
      </x:c>
      <x:c r="B8" s="92" t="n">
        <x:v>3</x:v>
      </x:c>
      <x:c r="C8" s="92" t="str">
        <x:v>Специалист</x:v>
      </x:c>
      <x:c r="D8" s="28" t="str">
        <x:v>Водитель погрузчика</x:v>
      </x:c>
      <x:c r="E8" s="28" t="str">
        <x:v>/voditel-spetstehnika/voditel-pogruzchika/</x:v>
      </x:c>
      <x:c r="F8" s="28" t="str">
        <x:v>/voditel-spetstehnika/</x:v>
      </x:c>
      <x:c r="G8" s="28" t="str">
        <x:v>Подбор водителей погрузчика</x:v>
      </x:c>
      <x:c r="H8" s="28" t="str">
        <x:v>Подбор водителей погрузчика</x:v>
      </x:c>
      <x:c r="I8" s="28" t="str">
        <x:v>водитель погрузчика</x:v>
      </x:c>
      <x:c r="J8" s="92" t="n">
        <x:v>19</x:v>
      </x:c>
      <x:c r="K8" s="28" t="str">
        <x:v>Подбор водителей вилочных и фронтальных погрузчиков</x:v>
      </x:c>
      <x:c r="L8" s="92" t="str">
        <x:v>Средний</x:v>
      </x:c>
      <x:c r="M8" s="92" t="str">
        <x:v>Специалист</x:v>
      </x:c>
      <x:c r="N8" s="92" t="str">
        <x:v>На согласовании</x:v>
      </x:c>
    </x:row>
    <x:row r="9" ht="62" customHeight="1">
      <x:c r="A9" s="92" t="n">
        <x:v>5</x:v>
      </x:c>
      <x:c r="B9" s="92" t="n">
        <x:v>3</x:v>
      </x:c>
      <x:c r="C9" s="92" t="str">
        <x:v>Специалист</x:v>
      </x:c>
      <x:c r="D9" s="28" t="str">
        <x:v>Водитель самосвала</x:v>
      </x:c>
      <x:c r="E9" s="28" t="str">
        <x:v>/voditel-spetstehnika/voditel-samosvala/</x:v>
      </x:c>
      <x:c r="F9" s="28" t="str">
        <x:v>/voditel-spetstehnika/</x:v>
      </x:c>
      <x:c r="G9" s="28" t="str">
        <x:v>Подбор водителей самосвала</x:v>
      </x:c>
      <x:c r="H9" s="28" t="str">
        <x:v>Подбор водителей самосвала</x:v>
      </x:c>
      <x:c r="I9" s="28" t="str">
        <x:v>водитель самосвала</x:v>
      </x:c>
      <x:c r="J9" s="92" t="n">
        <x:v>35</x:v>
      </x:c>
      <x:c r="K9" s="28" t="str">
        <x:v>Подбор водителей самосвалов для объекта</x:v>
      </x:c>
      <x:c r="L9" s="92" t="str">
        <x:v>Низкий</x:v>
      </x:c>
      <x:c r="M9" s="92" t="str">
        <x:v>Специалист</x:v>
      </x:c>
      <x:c r="N9" s="92" t="str">
        <x:v>На согласовании</x:v>
      </x:c>
    </x:row>
    <x:row r="10" ht="62" customHeight="1">
      <x:c r="A10" s="92" t="n">
        <x:v>6</x:v>
      </x:c>
      <x:c r="B10" s="92" t="n">
        <x:v>3</x:v>
      </x:c>
      <x:c r="C10" s="92" t="str">
        <x:v>Специалист</x:v>
      </x:c>
      <x:c r="D10" s="28" t="str">
        <x:v>Водитель тягача</x:v>
      </x:c>
      <x:c r="E10" s="28" t="str">
        <x:v>/voditel-spetstehnika/voditel-tyagacha/</x:v>
      </x:c>
      <x:c r="F10" s="28" t="str">
        <x:v>/voditel-spetstehnika/</x:v>
      </x:c>
      <x:c r="G10" s="28" t="str">
        <x:v>Подбор водителей тягача</x:v>
      </x:c>
      <x:c r="H10" s="28" t="str">
        <x:v>Подбор водителей тягача</x:v>
      </x:c>
      <x:c r="I10" s="28" t="str">
        <x:v>водитель тягача</x:v>
      </x:c>
      <x:c r="J10" s="92" t="n">
        <x:v>18</x:v>
      </x:c>
      <x:c r="K10" s="28" t="str">
        <x:v>Подбор водителей тягачей для специализированных перевозок</x:v>
      </x:c>
      <x:c r="L10" s="92" t="str">
        <x:v>Средний</x:v>
      </x:c>
      <x:c r="M10" s="92" t="str">
        <x:v>Специалист</x:v>
      </x:c>
      <x:c r="N10" s="92" t="str">
        <x:v>На согласовании</x:v>
      </x:c>
    </x:row>
    <x:row r="11" ht="62" customHeight="1">
      <x:c r="A11" s="92" t="n">
        <x:v>7</x:v>
      </x:c>
      <x:c r="B11" s="92" t="n">
        <x:v>3</x:v>
      </x:c>
      <x:c r="C11" s="92" t="str">
        <x:v>Специалист</x:v>
      </x:c>
      <x:c r="D11" s="28" t="str">
        <x:v>Топливозаправщик</x:v>
      </x:c>
      <x:c r="E11" s="28" t="str">
        <x:v>/voditel-spetstehnika/toplivozapravschik/</x:v>
      </x:c>
      <x:c r="F11" s="28" t="str">
        <x:v>/voditel-spetstehnika/</x:v>
      </x:c>
      <x:c r="G11" s="28" t="str">
        <x:v>Подбор водителей топливозаправщика</x:v>
      </x:c>
      <x:c r="H11" s="28" t="str">
        <x:v>Подбор водителей топливозаправщика</x:v>
      </x:c>
      <x:c r="I11" s="28" t="str">
        <x:v>Топливозаправщик</x:v>
      </x:c>
      <x:c r="J11" s="92" t="n">
        <x:v>6</x:v>
      </x:c>
      <x:c r="K11" s="28" t="str">
        <x:v>Подбор водителей топливозаправщиков с учетом ДОПОГ и документов</x:v>
      </x:c>
      <x:c r="L11" s="92" t="str">
        <x:v>Низкий</x:v>
      </x:c>
      <x:c r="M11" s="92" t="str">
        <x:v>Специалист</x:v>
      </x:c>
      <x:c r="N11" s="92" t="str">
        <x:v>На согласовании</x:v>
      </x:c>
    </x:row>
    <x:row r="12" ht="62" customHeight="1">
      <x:c r="A12" s="92" t="n">
        <x:v>8</x:v>
      </x:c>
      <x:c r="B12" s="92" t="n">
        <x:v>3</x:v>
      </x:c>
      <x:c r="C12" s="92" t="str">
        <x:v>Специалист</x:v>
      </x:c>
      <x:c r="D12" s="28" t="str">
        <x:v>Водитель трала</x:v>
      </x:c>
      <x:c r="E12" s="28" t="str">
        <x:v>/voditel-spetstehnika/voditel-trala/</x:v>
      </x:c>
      <x:c r="F12" s="28" t="str">
        <x:v>/voditel-spetstehnika/</x:v>
      </x:c>
      <x:c r="G12" s="28" t="str">
        <x:v>Подбор водителей трала</x:v>
      </x:c>
      <x:c r="H12" s="28" t="str">
        <x:v>Подбор водителей трала</x:v>
      </x:c>
      <x:c r="I12" s="28" t="str">
        <x:v>водитель трала</x:v>
      </x:c>
      <x:c r="J12" s="92" t="n">
        <x:v>22</x:v>
      </x:c>
      <x:c r="K12" s="28" t="str">
        <x:v>Подбор водителей тралов для перевозки спецтехники</x:v>
      </x:c>
      <x:c r="L12" s="92" t="str">
        <x:v>Средний</x:v>
      </x:c>
      <x:c r="M12" s="92" t="str">
        <x:v>Специалист</x:v>
      </x:c>
      <x:c r="N12" s="92" t="str">
        <x:v>На согласовании</x:v>
      </x:c>
    </x:row>
    <x:row r="13" ht="62" customHeight="1">
      <x:c r="A13" s="92" t="n">
        <x:v>9</x:v>
      </x:c>
      <x:c r="B13" s="92" t="n">
        <x:v>3</x:v>
      </x:c>
      <x:c r="C13" s="92" t="str">
        <x:v>Специалист</x:v>
      </x:c>
      <x:c r="D13" s="28" t="str">
        <x:v>Водитель вездехода</x:v>
      </x:c>
      <x:c r="E13" s="28" t="str">
        <x:v>/voditel-spetstehnika/voditel-vezdehoda/</x:v>
      </x:c>
      <x:c r="F13" s="28" t="str">
        <x:v>/voditel-spetstehnika/</x:v>
      </x:c>
      <x:c r="G13" s="28" t="str">
        <x:v>Подбор водителей вездехода</x:v>
      </x:c>
      <x:c r="H13" s="28" t="str">
        <x:v>Подбор водителей вездехода</x:v>
      </x:c>
      <x:c r="I13" s="28" t="str">
        <x:v>водитель вездехода</x:v>
      </x:c>
      <x:c r="J13" s="92" t="n">
        <x:v>38</x:v>
      </x:c>
      <x:c r="K13" s="28" t="str">
        <x:v>Подбор водителей вездеходов для удаленных объектов</x:v>
      </x:c>
      <x:c r="L13" s="92" t="str">
        <x:v>Низкий</x:v>
      </x:c>
      <x:c r="M13" s="92" t="str">
        <x:v>Специалист</x:v>
      </x:c>
      <x:c r="N13" s="92" t="str">
        <x:v>На согласовании</x:v>
      </x:c>
    </x:row>
    <x:row r="14" ht="62" customHeight="1">
      <x:c r="A14" s="92" t="n">
        <x:v>10</x:v>
      </x:c>
      <x:c r="B14" s="92" t="n">
        <x:v>3</x:v>
      </x:c>
      <x:c r="C14" s="92" t="str">
        <x:v>Специалист</x:v>
      </x:c>
      <x:c r="D14" s="28" t="str">
        <x:v>Водитель ломовоза</x:v>
      </x:c>
      <x:c r="E14" s="28" t="str">
        <x:v>/voditel-spetstehnika/voditel-lomovoza/</x:v>
      </x:c>
      <x:c r="F14" s="28" t="str">
        <x:v>/voditel-spetstehnika/</x:v>
      </x:c>
      <x:c r="G14" s="28" t="str">
        <x:v>Подбор водителей ломовоза</x:v>
      </x:c>
      <x:c r="H14" s="28" t="str">
        <x:v>Подбор водителей ломовоза</x:v>
      </x:c>
      <x:c r="I14" s="28" t="str">
        <x:v>водитель ломовоза</x:v>
      </x:c>
      <x:c r="J14" s="92" t="n">
        <x:v>6</x:v>
      </x:c>
      <x:c r="K14" s="28" t="str">
        <x:v>Подбор водителей ломовозов и техники с манипулятором</x:v>
      </x:c>
      <x:c r="L14" s="92" t="str">
        <x:v>Низкий</x:v>
      </x:c>
      <x:c r="M14" s="92" t="str">
        <x:v>Специалист</x:v>
      </x:c>
      <x:c r="N14" s="92" t="str">
        <x:v>На согласовании</x:v>
      </x:c>
    </x:row>
    <x:row r="15" ht="62" customHeight="1">
      <x:c r="A15" s="92" t="n">
        <x:v>11</x:v>
      </x:c>
      <x:c r="B15" s="92" t="n">
        <x:v>2</x:v>
      </x:c>
      <x:c r="C15" s="92" t="str">
        <x:v>Категория</x:v>
      </x:c>
      <x:c r="D15" s="28" t="str">
        <x:v>Машинисты спецтехники</x:v>
      </x:c>
      <x:c r="E15" s="28" t="str">
        <x:v>/mashinisty-spetstehniki/</x:v>
      </x:c>
      <x:c r="F15" s="28" t="str">
        <x:v>/</x:v>
      </x:c>
      <x:c r="G15" s="28" t="str">
        <x:v>Подбор машинистов спецтехники</x:v>
      </x:c>
      <x:c r="H15" s="28" t="str">
        <x:v>Подбор машинистов спецтехники</x:v>
      </x:c>
      <x:c r="I15" s="28" t="str">
        <x:v>машинисты спецтехники</x:v>
      </x:c>
      <x:c r="J15" s="92" t="n">
        <x:v>5</x:v>
      </x:c>
      <x:c r="K15" s="28" t="str">
        <x:v>Подбор машинистов и операторов строительной спецтехники</x:v>
      </x:c>
      <x:c r="L15" s="92" t="str">
        <x:v>Средний</x:v>
      </x:c>
      <x:c r="M15" s="92" t="str">
        <x:v>Категория</x:v>
      </x:c>
      <x:c r="N15" s="92" t="str">
        <x:v>На согласовании</x:v>
      </x:c>
    </x:row>
    <x:row r="16" ht="62" customHeight="1">
      <x:c r="A16" s="92" t="n">
        <x:v>12</x:v>
      </x:c>
      <x:c r="B16" s="92" t="n">
        <x:v>3</x:v>
      </x:c>
      <x:c r="C16" s="92" t="str">
        <x:v>Специалист</x:v>
      </x:c>
      <x:c r="D16" s="28" t="str">
        <x:v>Бульдозеристы</x:v>
      </x:c>
      <x:c r="E16" s="28" t="str">
        <x:v>/mashinisty-spetstehniki/buldozeristy/</x:v>
      </x:c>
      <x:c r="F16" s="28" t="str">
        <x:v>/mashinisty-spetstehniki/</x:v>
      </x:c>
      <x:c r="G16" s="28" t="str">
        <x:v>Подбор машинистов бульдозера</x:v>
      </x:c>
      <x:c r="H16" s="28" t="str">
        <x:v>Подбор машинистов бульдозера</x:v>
      </x:c>
      <x:c r="I16" s="28" t="str">
        <x:v>бульдозеристы</x:v>
      </x:c>
      <x:c r="J16" s="92" t="n">
        <x:v>55</x:v>
      </x:c>
      <x:c r="K16" s="28" t="str">
        <x:v>Подбор машинистов бульдозеров</x:v>
      </x:c>
      <x:c r="L16" s="92" t="str">
        <x:v>Средний</x:v>
      </x:c>
      <x:c r="M16" s="92" t="str">
        <x:v>Специалист</x:v>
      </x:c>
      <x:c r="N16" s="92" t="str">
        <x:v>На согласовании</x:v>
      </x:c>
    </x:row>
    <x:row r="17" ht="62" customHeight="1">
      <x:c r="A17" s="92" t="n">
        <x:v>13</x:v>
      </x:c>
      <x:c r="B17" s="92" t="n">
        <x:v>3</x:v>
      </x:c>
      <x:c r="C17" s="92" t="str">
        <x:v>Специалист</x:v>
      </x:c>
      <x:c r="D17" s="28" t="str">
        <x:v>Машинист трубоукладчика</x:v>
      </x:c>
      <x:c r="E17" s="28" t="str">
        <x:v>/mashinisty-spetstehniki/mashinist-truboukladchika/</x:v>
      </x:c>
      <x:c r="F17" s="28" t="str">
        <x:v>/mashinisty-spetstehniki/</x:v>
      </x:c>
      <x:c r="G17" s="28" t="str">
        <x:v>Подбор машинистов трубоукладчика</x:v>
      </x:c>
      <x:c r="H17" s="28" t="str">
        <x:v>Подбор машинистов трубоукладчика</x:v>
      </x:c>
      <x:c r="I17" s="28" t="str">
        <x:v>машинист трубоукладчика</x:v>
      </x:c>
      <x:c r="J17" s="92" t="n">
        <x:v>12</x:v>
      </x:c>
      <x:c r="K17" s="28" t="str">
        <x:v>Подбор машинистов трубоукладчиков для линейного строительства</x:v>
      </x:c>
      <x:c r="L17" s="92" t="str">
        <x:v>Низкий</x:v>
      </x:c>
      <x:c r="M17" s="92" t="str">
        <x:v>Специалист</x:v>
      </x:c>
      <x:c r="N17" s="92" t="str">
        <x:v>На согласовании</x:v>
      </x:c>
    </x:row>
    <x:row r="18" ht="62" customHeight="1">
      <x:c r="A18" s="92" t="n">
        <x:v>14</x:v>
      </x:c>
      <x:c r="B18" s="92" t="n">
        <x:v>3</x:v>
      </x:c>
      <x:c r="C18" s="92" t="str">
        <x:v>Специалист</x:v>
      </x:c>
      <x:c r="D18" s="28" t="str">
        <x:v>Экскаваторщик</x:v>
      </x:c>
      <x:c r="E18" s="28" t="str">
        <x:v>/mashinisty-spetstehniki/ekskavatorschik/</x:v>
      </x:c>
      <x:c r="F18" s="28" t="str">
        <x:v>/mashinisty-spetstehniki/</x:v>
      </x:c>
      <x:c r="G18" s="28" t="str">
        <x:v>Подбор машинистов экскаватора</x:v>
      </x:c>
      <x:c r="H18" s="28" t="str">
        <x:v>Подбор машинистов экскаватора</x:v>
      </x:c>
      <x:c r="I18" s="28" t="str">
        <x:v>экскаваторщик</x:v>
      </x:c>
      <x:c r="J18" s="92" t="n">
        <x:v>51</x:v>
      </x:c>
      <x:c r="K18" s="28" t="str">
        <x:v>Подбор машинистов экскаваторов и экскаваторов-погрузчиков</x:v>
      </x:c>
      <x:c r="L18" s="92" t="str">
        <x:v>Средний</x:v>
      </x:c>
      <x:c r="M18" s="92" t="str">
        <x:v>Специалист</x:v>
      </x:c>
      <x:c r="N18" s="92" t="str">
        <x:v>На согласовании</x:v>
      </x:c>
    </x:row>
    <x:row r="19" ht="62" customHeight="1">
      <x:c r="A19" s="92" t="n">
        <x:v>15</x:v>
      </x:c>
      <x:c r="B19" s="92" t="n">
        <x:v>3</x:v>
      </x:c>
      <x:c r="C19" s="92" t="str">
        <x:v>Специалист</x:v>
      </x:c>
      <x:c r="D19" s="28" t="str">
        <x:v>Машинисты автокрана</x:v>
      </x:c>
      <x:c r="E19" s="28" t="str">
        <x:v>/mashinisty-spetstehniki/mashinisty-avtokrana/</x:v>
      </x:c>
      <x:c r="F19" s="28" t="str">
        <x:v>/mashinisty-spetstehniki/</x:v>
      </x:c>
      <x:c r="G19" s="28" t="str">
        <x:v>Подбор машинистов автокрана</x:v>
      </x:c>
      <x:c r="H19" s="28" t="str">
        <x:v>Подбор машинистов автокрана</x:v>
      </x:c>
      <x:c r="I19" s="28" t="str">
        <x:v>машинисты автокрана</x:v>
      </x:c>
      <x:c r="J19" s="92" t="n">
        <x:v>90</x:v>
      </x:c>
      <x:c r="K19" s="28" t="str">
        <x:v>Подбор машинистов автомобильных кранов</x:v>
      </x:c>
      <x:c r="L19" s="92" t="str">
        <x:v>Низкий</x:v>
      </x:c>
      <x:c r="M19" s="92" t="str">
        <x:v>Специалист</x:v>
      </x:c>
      <x:c r="N19" s="92" t="str">
        <x:v>На согласовании</x:v>
      </x:c>
    </x:row>
    <x:row r="20" ht="62" customHeight="1">
      <x:c r="A20" s="92" t="n">
        <x:v>16</x:v>
      </x:c>
      <x:c r="B20" s="92" t="n">
        <x:v>3</x:v>
      </x:c>
      <x:c r="C20" s="92" t="str">
        <x:v>Специалист</x:v>
      </x:c>
      <x:c r="D20" s="28" t="str">
        <x:v>Машинист автовышки и автогидроподъемника</x:v>
      </x:c>
      <x:c r="E20" s="28" t="str">
        <x:v>/mashinisty-spetstehniki/mashinist-avtovyshki/</x:v>
      </x:c>
      <x:c r="F20" s="28" t="str">
        <x:v>/mashinisty-spetstehniki/</x:v>
      </x:c>
      <x:c r="G20" s="28" t="str">
        <x:v>Подбор машинистов автовышки и автогидроподъемников</x:v>
      </x:c>
      <x:c r="H20" s="28" t="str">
        <x:v>Подбор машинистов автовышки и автогидроподъемников</x:v>
      </x:c>
      <x:c r="I20" s="28" t="str">
        <x:v>машинист автовышки и автогидроподъемника</x:v>
      </x:c>
      <x:c r="J20" s="92" t="n">
        <x:v>26</x:v>
      </x:c>
      <x:c r="K20" s="28" t="str">
        <x:v>Подбор машинистов и операторов автовышек и автогидроподъемников</x:v>
      </x:c>
      <x:c r="L20" s="92" t="str">
        <x:v>Низкий</x:v>
      </x:c>
      <x:c r="M20" s="92" t="str">
        <x:v>Специалист</x:v>
      </x:c>
      <x:c r="N20" s="92" t="str">
        <x:v>На согласовании</x:v>
      </x:c>
    </x:row>
    <x:row r="21" ht="32.400001525878906" customHeight="1">
      <x:c r="A21" t="n">
        <x:v>17</x:v>
      </x:c>
      <x:c r="B21" t="n">
        <x:v>3</x:v>
      </x:c>
      <x:c r="C21" t="str">
        <x:v>Специалист</x:v>
      </x:c>
      <x:c r="D21" t="str">
        <x:v>Моторист цементировочного агрегата</x:v>
      </x:c>
      <x:c r="E21" t="str">
        <x:v>/mashinisty-spetstehniki/motorist-tsementirovochnogo-agregata/</x:v>
      </x:c>
      <x:c r="F21" t="str">
        <x:v>/mashinisty-spetstehniki/</x:v>
      </x:c>
      <x:c r="G21" t="str">
        <x:v>Отбор мотористов цементировочного агрегата для объектов</x:v>
      </x:c>
      <x:c r="H21" t="str">
        <x:v>Отбор мотористов цементировочного агрегата для объектов</x:v>
      </x:c>
      <x:c r="I21" t="str">
        <x:v>моторист цементировочного агр</x:v>
      </x:c>
      <x:c r="J21" t="n">
        <x:v>2</x:v>
      </x:c>
      <x:c r="K21" t="str">
        <x:v>Предоставление мотористов цементировочного агрегата компаниям</x:v>
      </x:c>
      <x:c r="L21" t="str">
        <x:v>Частотность не проверена</x:v>
      </x:c>
      <x:c r="M21" t="str">
        <x:v>Специалист</x:v>
      </x:c>
      <x:c r="N21" t="str">
        <x:v>Запланирована 22.10.2026</x:v>
      </x:c>
    </x:row>
    <x:row r="22" ht="32.400001525878906" customHeight="1">
      <x:c r="A22" s="92" t="n">
        <x:v>18</x:v>
      </x:c>
      <x:c r="B22" s="92" t="n">
        <x:v>3</x:v>
      </x:c>
      <x:c r="C22" s="92" t="str">
        <x:v>Специалист</x:v>
      </x:c>
      <x:c r="D22" s="28" t="str">
        <x:v>Слесарь по ремонту ДСТ</x:v>
      </x:c>
      <x:c r="E22" s="28" t="str">
        <x:v>/mashinisty-spetstehniki/slesar-po-remontu-dst/</x:v>
      </x:c>
      <x:c r="F22" s="28" t="str">
        <x:v>/mashinisty-spetstehniki/</x:v>
      </x:c>
      <x:c r="G22" s="28" t="str">
        <x:v>Отбор слесарей по ремонту ДСТ для объектов</x:v>
      </x:c>
      <x:c r="H22" s="28" t="str">
        <x:v>Отбор слесарей по ремонту ДСТ для объектов</x:v>
      </x:c>
      <x:c r="I22" s="28" t="str">
        <x:v>слесарь по ремонту ДСТ</x:v>
      </x:c>
      <x:c r="J22" s="92" t="n">
        <x:v>5</x:v>
      </x:c>
      <x:c r="K22" s="28" t="str">
        <x:v>Предоставление слесарей по ремонту дорожно-строительной техники компаниям</x:v>
      </x:c>
      <x:c r="L22" s="92" t="str">
        <x:v>Частотность не проверена</x:v>
      </x:c>
      <x:c r="M22" s="92" t="str">
        <x:v>Специалист</x:v>
      </x:c>
      <x:c r="N22" s="92" t="str">
        <x:v>Запланирована 22.10.2026</x:v>
      </x:c>
    </x:row>
  </x:sheetData>
  <x:mergeCells>
    <x:mergeCell ref="A1:N1"/>
    <x:mergeCell ref="A2:N2"/>
  </x:mergeCells>
  <x:conditionalFormatting sqref="L5:L21">
    <x:cfRule type="containsText" dxfId="0" priority="1" operator="containsText" text="Высокий"/>
    <x:cfRule type="containsText" dxfId="1" priority="2" operator="containsText" text="Средний"/>
    <x:cfRule type="containsText" dxfId="2" priority="3" operator="containsText" text="Низкий"/>
  </x:conditionalFormatting>
  <x:dataValidations count="1">
    <x:dataValidation type="list" sqref="N5:N21">
      <x:formula1>"На согласовании,Утвержден,Требует правки"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35.630001068115234" hidden="0" customWidth="1"/>
    <x:col min="3" max="3" width="33.75" hidden="0" customWidth="1"/>
    <x:col min="4" max="4" width="28.75" hidden="0" customWidth="1"/>
    <x:col min="5" max="5" width="31.25" hidden="0" customWidth="1"/>
    <x:col min="6" max="6" width="37.5" hidden="0" customWidth="1"/>
  </x:cols>
  <x:sheetData>
    <x:row r="1" ht="32" customHeight="1">
      <x:c r="A1" s="12" t="str">
        <x:v>Матрица интентов и границ</x:v>
      </x:c>
    </x:row>
    <x:row r="2" ht="30" customHeight="1">
      <x:c r="A2" s="16" t="str">
        <x:v>Правило: каждая страница продает услугу подбора персонала бизнесу. Вакансии, резюме, трудоустройство, зарплаты и аренда техники не являются целевыми интентами.</x:v>
      </x:c>
    </x:row>
    <x:row r="4">
      <x:c r="A4" s="21" t="str">
        <x:v>№</x:v>
      </x:c>
      <x:c r="B4" s="21" t="str">
        <x:v>URL</x:v>
      </x:c>
      <x:c r="C4" s="21" t="str">
        <x:v>Целевые формулировки</x:v>
      </x:c>
      <x:c r="D4" s="21" t="str">
        <x:v>Допустимые модификаторы</x:v>
      </x:c>
      <x:c r="E4" s="21" t="str">
        <x:v>Исключить из целевого ядра</x:v>
      </x:c>
      <x:c r="F4" s="21" t="str">
        <x:v>Правило разведения</x:v>
      </x:c>
    </x:row>
    <x:row r="5" ht="72" customHeight="1">
      <x:c r="A5" s="27" t="n">
        <x:v>1</x:v>
      </x:c>
      <x:c r="B5" s="27" t="str">
        <x:v>/</x:v>
      </x:c>
      <x:c r="C5" s="27" t="str">
        <x:v>подбор строительного персонала; услуги подбора персонала; подбор рабочего персонала</x:v>
      </x:c>
      <x:c r="D5" s="27" t="str">
        <x:v>вахтовый формат как условие объекта</x:v>
      </x:c>
      <x:c r="E5" s="93" t="str">
        <x:v>вакансии; работа; резюме; зарплата; точечный подбор при групповом позиционировании</x:v>
      </x:c>
      <x:c r="F5" s="95" t="str">
        <x:v>Главная раскрывает услугу целиком; категории — только профессии</x:v>
      </x:c>
    </x:row>
    <x:row r="6" ht="72" customHeight="1">
      <x:c r="A6" s="28" t="n">
        <x:v>2</x:v>
      </x:c>
      <x:c r="B6" s="28" t="str">
        <x:v>/voditel-spetstehnika/</x:v>
      </x:c>
      <x:c r="C6" s="28" t="str">
        <x:v>подбор водителей спецтехники; водители спецтехники</x:v>
      </x:c>
      <x:c r="D6" s="28" t="str">
        <x:v>вахта; категории прав; тип техники</x:v>
      </x:c>
      <x:c r="E6" s="94" t="str">
        <x:v>машинист спецтехники; резюме; требуются водители; вакансии</x:v>
      </x:c>
      <x:c r="F6" s="96" t="str">
        <x:v>Исключить запросы машинистов — они принадлежат соседней категории</x:v>
      </x:c>
    </x:row>
    <x:row r="7" ht="72" customHeight="1">
      <x:c r="A7" s="28" t="n">
        <x:v>3</x:v>
      </x:c>
      <x:c r="B7" s="28" t="str">
        <x:v>/voditel-spetstehnika/voditel-gruzovogo-avtomobilya/</x:v>
      </x:c>
      <x:c r="C7" s="28" t="str">
        <x:v>подбор водителей грузовых автомобилей; база/группа водителей</x:v>
      </x:c>
      <x:c r="D7" s="28" t="str">
        <x:v>вахта; командировка; КАМАЗ</x:v>
      </x:c>
      <x:c r="E7" s="94" t="str">
        <x:v>требуется водитель; резюме; самозанятый; аренда автомобиля</x:v>
      </x:c>
      <x:c r="F7" s="96" t="str">
        <x:v>Не перетягивать самосвалы, тягачи, тралы и ломовозы</x:v>
      </x:c>
    </x:row>
    <x:row r="8" ht="72" customHeight="1">
      <x:c r="A8" s="28" t="n">
        <x:v>4</x:v>
      </x:c>
      <x:c r="B8" s="28" t="str">
        <x:v>/voditel-spetstehnika/voditel-pogruzchika/</x:v>
      </x:c>
      <x:c r="C8" s="28" t="str">
        <x:v>подбор водителей вилочных и фронтальных погрузчиков</x:v>
      </x:c>
      <x:c r="D8" s="28" t="str">
        <x:v>вахта; сменность; тип погрузчика</x:v>
      </x:c>
      <x:c r="E8" s="94" t="str">
        <x:v>вакансии; резюме; экскаватор-погрузчик</x:v>
      </x:c>
      <x:c r="F8" s="96" t="str">
        <x:v>Экскаватор-погрузчик закреплен за страницей экскаваторщика</x:v>
      </x:c>
    </x:row>
    <x:row r="9" ht="72" customHeight="1">
      <x:c r="A9" s="28" t="n">
        <x:v>5</x:v>
      </x:c>
      <x:c r="B9" s="28" t="str">
        <x:v>/voditel-spetstehnika/voditel-samosvala/</x:v>
      </x:c>
      <x:c r="C9" s="28" t="str">
        <x:v>подбор водителей самосвалов</x:v>
      </x:c>
      <x:c r="D9" s="28" t="str">
        <x:v>вахта; север; тип самосвала</x:v>
      </x:c>
      <x:c r="E9" s="94" t="str">
        <x:v>требуется водитель; вакансии; ОКЗ; ЕТКС</x:v>
      </x:c>
      <x:c r="F9" s="96" t="str">
        <x:v>Грузовой автомобиль — родовое понятие, самосвал — отдельная специализация</x:v>
      </x:c>
    </x:row>
    <x:row r="10" ht="72" customHeight="1">
      <x:c r="A10" s="28" t="n">
        <x:v>6</x:v>
      </x:c>
      <x:c r="B10" s="28" t="str">
        <x:v>/voditel-spetstehnika/voditel-tyagacha/</x:v>
      </x:c>
      <x:c r="C10" s="28" t="str">
        <x:v>подбор водителей тягачей</x:v>
      </x:c>
      <x:c r="D10" s="28" t="str">
        <x:v>тип тягача; вахта; специализированные перевозки</x:v>
      </x:c>
      <x:c r="E10" s="94" t="str">
        <x:v>зарплата; требуется водитель; услуги тягача с водителем</x:v>
      </x:c>
      <x:c r="F10" s="96" t="str">
        <x:v>Запросы аренды/перевозки не относятся к подбору персонала</x:v>
      </x:c>
    </x:row>
    <x:row r="11" ht="72" customHeight="1">
      <x:c r="A11" s="28" t="n">
        <x:v>7</x:v>
      </x:c>
      <x:c r="B11" s="28" t="str">
        <x:v>/voditel-spetstehnika/toplivozapravschik/</x:v>
      </x:c>
      <x:c r="C11" s="28" t="str">
        <x:v>подбор водителей топливозаправщиков</x:v>
      </x:c>
      <x:c r="D11" s="28" t="str">
        <x:v>вахта; ДОПОГ; категории; документы</x:v>
      </x:c>
      <x:c r="E11" s="94" t="str">
        <x:v>прямой работодатель; вакансии; работа</x:v>
      </x:c>
      <x:c r="F11" s="96" t="str">
        <x:v>Не создавать отдельную страницу под ДОПОГ или вахту</x:v>
      </x:c>
    </x:row>
    <x:row r="12" ht="72" customHeight="1">
      <x:c r="A12" s="28" t="n">
        <x:v>8</x:v>
      </x:c>
      <x:c r="B12" s="28" t="str">
        <x:v>/voditel-spetstehnika/voditel-trala/</x:v>
      </x:c>
      <x:c r="C12" s="28" t="str">
        <x:v>подбор водителей тралов</x:v>
      </x:c>
      <x:c r="D12" s="28" t="str">
        <x:v>категория Е; низкорамный трал; вахта</x:v>
      </x:c>
      <x:c r="E12" s="94" t="str">
        <x:v>требуется водитель; геозапросы вакансий; услуги перевозки</x:v>
      </x:c>
      <x:c r="F12" s="96" t="str">
        <x:v>Страница про персонал, не про аренду трала и перевозку груза</x:v>
      </x:c>
    </x:row>
    <x:row r="13" ht="72" customHeight="1">
      <x:c r="A13" s="28" t="n">
        <x:v>9</x:v>
      </x:c>
      <x:c r="B13" s="28" t="str">
        <x:v>/voditel-spetstehnika/voditel-vezdehoda/</x:v>
      </x:c>
      <x:c r="C13" s="28" t="str">
        <x:v>подбор водителей вездеходов</x:v>
      </x:c>
      <x:c r="D13" s="28" t="str">
        <x:v>гусеничная техника; МТЛБ; Трэкол; удаленные объекты</x:v>
      </x:c>
      <x:c r="E13" s="94" t="str">
        <x:v>какая категория; права; разряд как информационный интент</x:v>
      </x:c>
      <x:c r="F13" s="96" t="str">
        <x:v>Категории и разряд использовать только как требования к кандидату</x:v>
      </x:c>
    </x:row>
    <x:row r="14" ht="72" customHeight="1">
      <x:c r="A14" s="28" t="n">
        <x:v>10</x:v>
      </x:c>
      <x:c r="B14" s="28" t="str">
        <x:v>/voditel-spetstehnika/voditel-lomovoza/</x:v>
      </x:c>
      <x:c r="C14" s="28" t="str">
        <x:v>подбор водителей ломовозов</x:v>
      </x:c>
      <x:c r="D14" s="28" t="str">
        <x:v>манипулятор; категория Е; вахта</x:v>
      </x:c>
      <x:c r="E14" s="94" t="str">
        <x:v>вакансии; прием металлолома; услуги вывоза</x:v>
      </x:c>
      <x:c r="F14" s="96" t="str">
        <x:v>Не смешивать с коммерческими услугами вывоза металла</x:v>
      </x:c>
    </x:row>
    <x:row r="15" ht="72" customHeight="1">
      <x:c r="A15" s="28" t="n">
        <x:v>11</x:v>
      </x:c>
      <x:c r="B15" s="28" t="str">
        <x:v>/mashinisty-spetstehniki/</x:v>
      </x:c>
      <x:c r="C15" s="28" t="str">
        <x:v>подбор машинистов спецтехники</x:v>
      </x:c>
      <x:c r="D15" s="28" t="str">
        <x:v>вахта; тип техники; допуски</x:v>
      </x:c>
      <x:c r="E15" s="94" t="str">
        <x:v>водитель на спецтехнику; вакансии</x:v>
      </x:c>
      <x:c r="F15" s="96" t="str">
        <x:v>Категория раскрывает машинистов, не водителей</x:v>
      </x:c>
    </x:row>
    <x:row r="16" ht="72" customHeight="1">
      <x:c r="A16" s="28" t="n">
        <x:v>12</x:v>
      </x:c>
      <x:c r="B16" s="28" t="str">
        <x:v>/mashinisty-spetstehniki/buldozeristy/</x:v>
      </x:c>
      <x:c r="C16" s="28" t="str">
        <x:v>подбор машинистов бульдозеров</x:v>
      </x:c>
      <x:c r="D16" s="28" t="str">
        <x:v>колесный/гусеничный бульдозер; вахта</x:v>
      </x:c>
      <x:c r="E16" s="94" t="str">
        <x:v>вакансии; водитель бульдозера; экскаваторщик</x:v>
      </x:c>
      <x:c r="F16" s="96" t="str">
        <x:v>Комбинированные запросы с экскаватором не делать целевыми</x:v>
      </x:c>
    </x:row>
    <x:row r="17" ht="72" customHeight="1">
      <x:c r="A17" s="28" t="n">
        <x:v>13</x:v>
      </x:c>
      <x:c r="B17" s="28" t="str">
        <x:v>/mashinisty-spetstehniki/mashinist-truboukladchika/</x:v>
      </x:c>
      <x:c r="C17" s="28" t="str">
        <x:v>подбор машинистов трубоукладчиков</x:v>
      </x:c>
      <x:c r="D17" s="28" t="str">
        <x:v>вахта; документы; линейное строительство</x:v>
      </x:c>
      <x:c r="E17" s="94" t="str">
        <x:v>резюме; требуется; экзаменационные билеты; код профессии</x:v>
      </x:c>
      <x:c r="F17" s="96" t="str">
        <x:v>Информационные запросы допустимы только как требования</x:v>
      </x:c>
    </x:row>
    <x:row r="18" ht="72" customHeight="1">
      <x:c r="A18" s="28" t="n">
        <x:v>14</x:v>
      </x:c>
      <x:c r="B18" s="28" t="str">
        <x:v>/mashinisty-spetstehniki/ekskavatorschik/</x:v>
      </x:c>
      <x:c r="C18" s="28" t="str">
        <x:v>подбор машинистов экскаваторов и экскаваторов-погрузчиков</x:v>
      </x:c>
      <x:c r="D18" s="28" t="str">
        <x:v>тип экскаватора; вахта; навесное оборудование</x:v>
      </x:c>
      <x:c r="E18" s="94" t="str">
        <x:v>резюме; требуется; машинист бульдозера</x:v>
      </x:c>
      <x:c r="F18" s="96" t="str">
        <x:v>Экскаватор-погрузчик относится сюда, не к водителям погрузчика</x:v>
      </x:c>
    </x:row>
    <x:row r="19" ht="72" customHeight="1">
      <x:c r="A19" s="28" t="n">
        <x:v>15</x:v>
      </x:c>
      <x:c r="B19" s="28" t="str">
        <x:v>/mashinisty-spetstehniki/mashinisty-avtokrana/</x:v>
      </x:c>
      <x:c r="C19" s="28" t="str">
        <x:v>подбор машинистов автокранов; автокрановщики</x:v>
      </x:c>
      <x:c r="D19" s="28" t="str">
        <x:v>тип крана; тоннаж; вахта; допуски</x:v>
      </x:c>
      <x:c r="E19" s="94" t="str">
        <x:v>резюме; вакансии; аренда автокрана</x:v>
      </x:c>
      <x:c r="F19" s="96" t="str">
        <x:v>Не смешивать подбор персонала с услугой автокрана</x:v>
      </x:c>
    </x:row>
    <x:row r="20" ht="72" customHeight="1">
      <x:c r="A20" s="28" t="n">
        <x:v>16</x:v>
      </x:c>
      <x:c r="B20" s="28" t="str">
        <x:v>/mashinisty-spetstehniki/mashinist-avtovyshki/</x:v>
      </x:c>
      <x:c r="C20" s="28" t="str">
        <x:v>подбор машинистов и операторов автовышек; подбор машинистов и операторов автогидроподъемников; АГП</x:v>
      </x:c>
      <x:c r="D20" s="28" t="str">
        <x:v>высотные работы; вахта; допуски; удостоверения</x:v>
      </x:c>
      <x:c r="E20" s="94" t="str">
        <x:v>вакансии; резюме; аренда автовышки; аренда АГП</x:v>
      </x:c>
      <x:c r="F20" s="96" t="str">
        <x:v>Автовышка и АГП — один специалист и один URL; оба термина раскрываются на объединенной странице.</x:v>
      </x:c>
    </x:row>
    <x:row r="21" ht="54" customHeight="1">
      <x:c r="A21" t="n">
        <x:v>17</x:v>
      </x:c>
      <x:c r="B21" t="str">
        <x:v>/mashinisty-spetstehniki/motorist-tsementirovochnogo-agregata/</x:v>
      </x:c>
      <x:c r="C21" t="str">
        <x:v>отбор мотористов цементировочного агрегата; аутстаффинг мотористов цементировочного агрегата; предоставление мотористов цементировочного агрегата</x:v>
      </x:c>
      <x:c r="D21" t="str">
        <x:v>Регион, график, тип техники и профиль работ</x:v>
      </x:c>
      <x:c r="E21" t="str">
        <x:v>вакансия; работа; зарплата; резюме; обучение; курсы; удостоверение купить; продажа агрегата; аренда техники без персонала; ремонт техники как услуга</x:v>
      </x:c>
      <x:c r="F21" t="str">
        <x:v>Тип агрегата и задачи, опыт кандидата, документы, регион, график и дата выхода. Не приравнивать цементирование скважин к обычным строительным работам.</x:v>
      </x:c>
    </x:row>
    <x:row r="22" ht="54" customHeight="1">
      <x:c r="A22" s="28" t="n">
        <x:v>18</x:v>
      </x:c>
      <x:c r="B22" s="28" t="str">
        <x:v>/mashinisty-spetstehniki/slesar-po-remontu-dst/</x:v>
      </x:c>
      <x:c r="C22" s="28" t="str">
        <x:v>отбор слесарей по ремонту ДСТ; аутстаффинг слесарей по ремонту ДСТ; предоставление слесарей по ремонту спецтехники</x:v>
      </x:c>
      <x:c r="D22" s="28" t="str">
        <x:v>Регион, график, тип техники и профиль работ</x:v>
      </x:c>
      <x:c r="E22" s="94" t="str">
        <x:v>вакансия; работа; зарплата; резюме; обучение; курсы; удостоверение купить; продажа агрегата; аренда техники без персонала; ремонт техники как услуга</x:v>
      </x:c>
      <x:c r="F22" s="96" t="str">
        <x:v>Раскрыть ДСТ как дорожно-строительную технику. Уточнять тип машин, узлы и характер ремонта, опыт, документы и условия выхода. Продаём предоставление сотрудника, не ремонт техники как подряд.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36.25" hidden="0" customWidth="1"/>
    <x:col min="3" max="3" width="30" hidden="0" customWidth="1"/>
    <x:col min="4" max="4" width="42.5" hidden="0" customWidth="1"/>
    <x:col min="5" max="5" width="37.5" hidden="0" customWidth="1"/>
    <x:col min="6" max="6" width="37.5" hidden="0" customWidth="1"/>
    <x:col min="7" max="7" width="33.75" hidden="0" customWidth="1"/>
  </x:cols>
  <x:sheetData>
    <x:row r="1" ht="32" customHeight="1">
      <x:c r="A1" s="12" t="str">
        <x:v>Граф внутренней перелинковки</x:v>
      </x:c>
    </x:row>
    <x:row r="2" ht="30" customHeight="1">
      <x:c r="A2" s="16" t="str">
        <x:v>Связи федерального зеркала. Ссылки в региональных подпапках должны сохранять региональный префикс.</x:v>
      </x:c>
    </x:row>
    <x:row r="4">
      <x:c r="A4" s="21" t="str">
        <x:v>№</x:v>
      </x:c>
      <x:c r="B4" s="21" t="str">
        <x:v>URL</x:v>
      </x:c>
      <x:c r="C4" s="21" t="str">
        <x:v>Родитель</x:v>
      </x:c>
      <x:c r="D4" s="21" t="str">
        <x:v>Дочерние страницы</x:v>
      </x:c>
      <x:c r="E4" s="21" t="str">
        <x:v>Breadcrumbs</x:v>
      </x:c>
      <x:c r="F4" s="21" t="str">
        <x:v>Исходящие ссылки</x:v>
      </x:c>
      <x:c r="G4" s="21" t="str">
        <x:v>Входящие ссылки</x:v>
      </x:c>
    </x:row>
    <x:row r="5" ht="82" customHeight="1">
      <x:c r="A5" s="27" t="n">
        <x:v>1</x:v>
      </x:c>
      <x:c r="B5" s="27" t="str">
        <x:v>/</x:v>
      </x:c>
      <x:c r="C5" s="27" t="str">
        <x:v>—</x:v>
      </x:c>
      <x:c r="D5" s="27" t="str">
        <x:v>/voditel-spetstehnika/
/mashinisty-spetstehniki/</x:v>
      </x:c>
      <x:c r="E5" s="27" t="str">
        <x:v>Главная</x:v>
      </x:c>
      <x:c r="F5" s="27" t="str">
        <x:v>2 категории; 14 карточек специалистов; CTA</x:v>
      </x:c>
      <x:c r="G5" s="27" t="str">
        <x:v>Логотип; breadcrumbs; footer</x:v>
      </x:c>
    </x:row>
    <x:row r="6" ht="82" customHeight="1">
      <x:c r="A6" s="28" t="n">
        <x:v>2</x:v>
      </x:c>
      <x:c r="B6" s="28" t="str">
        <x:v>/voditel-spetstehnika/</x:v>
      </x:c>
      <x:c r="C6" s="28" t="str">
        <x:v>/</x:v>
      </x:c>
      <x:c r="D6" s="28" t="str">
        <x:v>/voditel-spetstehnika/voditel-gruzovogo-avtomobilya/
/voditel-spetstehnika/voditel-pogruzchika/
/voditel-spetstehnika/voditel-samosvala/
/voditel-spetstehnika/voditel-tyagacha/
/voditel-spetstehnika/toplivozapravschik/
/voditel-spetstehnika/voditel-trala/
/voditel-spetstehnika/voditel-vezdehoda/
/voditel-spetstehnika/voditel-lomovoza/</x:v>
      </x:c>
      <x:c r="E6" s="28" t="str">
        <x:v>Главная &gt; Водители спецтехники</x:v>
      </x:c>
      <x:c r="F6" s="28" t="str">
        <x:v>Главная; дочерние специалисты; CTA</x:v>
      </x:c>
      <x:c r="G6" s="28" t="str">
        <x:v>Главная; header/footer; дочерние breadcrumbs</x:v>
      </x:c>
    </x:row>
    <x:row r="7" ht="82" customHeight="1">
      <x:c r="A7" s="28" t="n">
        <x:v>3</x:v>
      </x:c>
      <x:c r="B7" s="28" t="str">
        <x:v>/voditel-spetstehnika/voditel-gruzovogo-avtomobilya/</x:v>
      </x:c>
      <x:c r="C7" s="28" t="str">
        <x:v>/voditel-spetstehnika/</x:v>
      </x:c>
      <x:c r="D7" s="28" t="str">
        <x:v>—</x:v>
      </x:c>
      <x:c r="E7" s="28" t="str">
        <x:v>Главная &gt; Водители спецтехники &gt; Водитель грузового автомобиля</x:v>
      </x:c>
      <x:c r="F7" s="28" t="str">
        <x:v>Родитель; главная; 2–4 релевантные соседние услуги; CTA</x:v>
      </x:c>
      <x:c r="G7" s="28" t="str">
        <x:v>Главная (карточка); категория; соседние услуги</x:v>
      </x:c>
    </x:row>
    <x:row r="8" ht="82" customHeight="1">
      <x:c r="A8" s="28" t="n">
        <x:v>4</x:v>
      </x:c>
      <x:c r="B8" s="28" t="str">
        <x:v>/voditel-spetstehnika/voditel-pogruzchika/</x:v>
      </x:c>
      <x:c r="C8" s="28" t="str">
        <x:v>/voditel-spetstehnika/</x:v>
      </x:c>
      <x:c r="D8" s="28" t="str">
        <x:v>—</x:v>
      </x:c>
      <x:c r="E8" s="28" t="str">
        <x:v>Главная &gt; Водители спецтехники &gt; Водитель погрузчика</x:v>
      </x:c>
      <x:c r="F8" s="28" t="str">
        <x:v>Родитель; главная; 2–4 релевантные соседние услуги; CTA</x:v>
      </x:c>
      <x:c r="G8" s="28" t="str">
        <x:v>Главная (карточка); категория; соседние услуги</x:v>
      </x:c>
    </x:row>
    <x:row r="9" ht="82" customHeight="1">
      <x:c r="A9" s="28" t="n">
        <x:v>5</x:v>
      </x:c>
      <x:c r="B9" s="28" t="str">
        <x:v>/voditel-spetstehnika/voditel-samosvala/</x:v>
      </x:c>
      <x:c r="C9" s="28" t="str">
        <x:v>/voditel-spetstehnika/</x:v>
      </x:c>
      <x:c r="D9" s="28" t="str">
        <x:v>—</x:v>
      </x:c>
      <x:c r="E9" s="28" t="str">
        <x:v>Главная &gt; Водители спецтехники &gt; Водитель самосвала</x:v>
      </x:c>
      <x:c r="F9" s="28" t="str">
        <x:v>Родитель; главная; 2–4 релевантные соседние услуги; CTA</x:v>
      </x:c>
      <x:c r="G9" s="28" t="str">
        <x:v>Главная (карточка); категория; соседние услуги</x:v>
      </x:c>
    </x:row>
    <x:row r="10" ht="82" customHeight="1">
      <x:c r="A10" s="28" t="n">
        <x:v>6</x:v>
      </x:c>
      <x:c r="B10" s="28" t="str">
        <x:v>/voditel-spetstehnika/voditel-tyagacha/</x:v>
      </x:c>
      <x:c r="C10" s="28" t="str">
        <x:v>/voditel-spetstehnika/</x:v>
      </x:c>
      <x:c r="D10" s="28" t="str">
        <x:v>—</x:v>
      </x:c>
      <x:c r="E10" s="28" t="str">
        <x:v>Главная &gt; Водители спецтехники &gt; Водитель тягача</x:v>
      </x:c>
      <x:c r="F10" s="28" t="str">
        <x:v>Родитель; главная; 2–4 релевантные соседние услуги; CTA</x:v>
      </x:c>
      <x:c r="G10" s="28" t="str">
        <x:v>Главная (карточка); категория; соседние услуги</x:v>
      </x:c>
    </x:row>
    <x:row r="11" ht="82" customHeight="1">
      <x:c r="A11" s="28" t="n">
        <x:v>7</x:v>
      </x:c>
      <x:c r="B11" s="28" t="str">
        <x:v>/voditel-spetstehnika/toplivozapravschik/</x:v>
      </x:c>
      <x:c r="C11" s="28" t="str">
        <x:v>/voditel-spetstehnika/</x:v>
      </x:c>
      <x:c r="D11" s="28" t="str">
        <x:v>—</x:v>
      </x:c>
      <x:c r="E11" s="28" t="str">
        <x:v>Главная &gt; Водители спецтехники &gt; Топливозаправщик</x:v>
      </x:c>
      <x:c r="F11" s="28" t="str">
        <x:v>Родитель; главная; 2–4 релевантные соседние услуги; CTA</x:v>
      </x:c>
      <x:c r="G11" s="28" t="str">
        <x:v>Главная (карточка); категория; соседние услуги</x:v>
      </x:c>
    </x:row>
    <x:row r="12" ht="82" customHeight="1">
      <x:c r="A12" s="28" t="n">
        <x:v>8</x:v>
      </x:c>
      <x:c r="B12" s="28" t="str">
        <x:v>/voditel-spetstehnika/voditel-trala/</x:v>
      </x:c>
      <x:c r="C12" s="28" t="str">
        <x:v>/voditel-spetstehnika/</x:v>
      </x:c>
      <x:c r="D12" s="28" t="str">
        <x:v>—</x:v>
      </x:c>
      <x:c r="E12" s="28" t="str">
        <x:v>Главная &gt; Водители спецтехники &gt; Водитель трала</x:v>
      </x:c>
      <x:c r="F12" s="28" t="str">
        <x:v>Родитель; главная; 2–4 релевантные соседние услуги; CTA</x:v>
      </x:c>
      <x:c r="G12" s="28" t="str">
        <x:v>Главная (карточка); категория; соседние услуги</x:v>
      </x:c>
    </x:row>
    <x:row r="13" ht="82" customHeight="1">
      <x:c r="A13" s="28" t="n">
        <x:v>9</x:v>
      </x:c>
      <x:c r="B13" s="28" t="str">
        <x:v>/voditel-spetstehnika/voditel-vezdehoda/</x:v>
      </x:c>
      <x:c r="C13" s="28" t="str">
        <x:v>/voditel-spetstehnika/</x:v>
      </x:c>
      <x:c r="D13" s="28" t="str">
        <x:v>—</x:v>
      </x:c>
      <x:c r="E13" s="28" t="str">
        <x:v>Главная &gt; Водители спецтехники &gt; Водитель вездехода</x:v>
      </x:c>
      <x:c r="F13" s="28" t="str">
        <x:v>Родитель; главная; 2–4 релевантные соседние услуги; CTA</x:v>
      </x:c>
      <x:c r="G13" s="28" t="str">
        <x:v>Главная (карточка); категория; соседние услуги</x:v>
      </x:c>
    </x:row>
    <x:row r="14" ht="82" customHeight="1">
      <x:c r="A14" s="28" t="n">
        <x:v>10</x:v>
      </x:c>
      <x:c r="B14" s="28" t="str">
        <x:v>/voditel-spetstehnika/voditel-lomovoza/</x:v>
      </x:c>
      <x:c r="C14" s="28" t="str">
        <x:v>/voditel-spetstehnika/</x:v>
      </x:c>
      <x:c r="D14" s="28" t="str">
        <x:v>—</x:v>
      </x:c>
      <x:c r="E14" s="28" t="str">
        <x:v>Главная &gt; Водители спецтехники &gt; Водитель ломовоза</x:v>
      </x:c>
      <x:c r="F14" s="28" t="str">
        <x:v>Родитель; главная; 2–4 релевантные соседние услуги; CTA</x:v>
      </x:c>
      <x:c r="G14" s="28" t="str">
        <x:v>Главная (карточка); категория; соседние услуги</x:v>
      </x:c>
    </x:row>
    <x:row r="15" ht="82" customHeight="1">
      <x:c r="A15" s="28" t="n">
        <x:v>11</x:v>
      </x:c>
      <x:c r="B15" s="28" t="str">
        <x:v>/mashinisty-spetstehniki/</x:v>
      </x:c>
      <x:c r="C15" s="28" t="str">
        <x:v>/</x:v>
      </x:c>
      <x:c r="D15" s="28" t="str">
        <x:v>/mashinisty-spetstehniki/buldozeristy/
/mashinisty-spetstehniki/mashinist-truboukladchika/
/mashinisty-spetstehniki/ekskavatorschik/
/mashinisty-spetstehniki/mashinisty-avtokrana/
/mashinisty-spetstehniki/mashinist-avtovyshki/
/mashinisty-spetstehniki/motorist-tsementirovochnogo-agregata/
/mashinisty-spetstehniki/slesar-po-remontu-dst/</x:v>
      </x:c>
      <x:c r="E15" s="28" t="str">
        <x:v>Главная &gt; Машинисты спецтехники</x:v>
      </x:c>
      <x:c r="F15" s="28" t="str">
        <x:v>Главная; дочерние специалисты; CTA</x:v>
      </x:c>
      <x:c r="G15" s="28" t="str">
        <x:v>Главная; header/footer; дочерние breadcrumbs</x:v>
      </x:c>
    </x:row>
    <x:row r="16" ht="82" customHeight="1">
      <x:c r="A16" s="28" t="n">
        <x:v>12</x:v>
      </x:c>
      <x:c r="B16" s="28" t="str">
        <x:v>/mashinisty-spetstehniki/buldozeristy/</x:v>
      </x:c>
      <x:c r="C16" s="28" t="str">
        <x:v>/mashinisty-spetstehniki/</x:v>
      </x:c>
      <x:c r="D16" s="28" t="str">
        <x:v>—</x:v>
      </x:c>
      <x:c r="E16" s="28" t="str">
        <x:v>Главная &gt; Машинисты спецтехники &gt; Бульдозеристы</x:v>
      </x:c>
      <x:c r="F16" s="28" t="str">
        <x:v>Родитель; главная; 2–4 релевантные соседние услуги; CTA</x:v>
      </x:c>
      <x:c r="G16" s="28" t="str">
        <x:v>Главная (карточка); категория; соседние услуги</x:v>
      </x:c>
    </x:row>
    <x:row r="17" ht="82" customHeight="1">
      <x:c r="A17" s="28" t="n">
        <x:v>13</x:v>
      </x:c>
      <x:c r="B17" s="28" t="str">
        <x:v>/mashinisty-spetstehniki/mashinist-truboukladchika/</x:v>
      </x:c>
      <x:c r="C17" s="28" t="str">
        <x:v>/mashinisty-spetstehniki/</x:v>
      </x:c>
      <x:c r="D17" s="28" t="str">
        <x:v>—</x:v>
      </x:c>
      <x:c r="E17" s="28" t="str">
        <x:v>Главная &gt; Машинисты спецтехники &gt; Машинист трубоукладчика</x:v>
      </x:c>
      <x:c r="F17" s="28" t="str">
        <x:v>Родитель; главная; 2–4 релевантные соседние услуги; CTA</x:v>
      </x:c>
      <x:c r="G17" s="28" t="str">
        <x:v>Главная (карточка); категория; соседние услуги</x:v>
      </x:c>
    </x:row>
    <x:row r="18" ht="82" customHeight="1">
      <x:c r="A18" s="28" t="n">
        <x:v>14</x:v>
      </x:c>
      <x:c r="B18" s="28" t="str">
        <x:v>/mashinisty-spetstehniki/ekskavatorschik/</x:v>
      </x:c>
      <x:c r="C18" s="28" t="str">
        <x:v>/mashinisty-spetstehniki/</x:v>
      </x:c>
      <x:c r="D18" s="28" t="str">
        <x:v>—</x:v>
      </x:c>
      <x:c r="E18" s="28" t="str">
        <x:v>Главная &gt; Машинисты спецтехники &gt; Экскаваторщик</x:v>
      </x:c>
      <x:c r="F18" s="28" t="str">
        <x:v>Родитель; главная; 2–4 релевантные соседние услуги; CTA</x:v>
      </x:c>
      <x:c r="G18" s="28" t="str">
        <x:v>Главная (карточка); категория; соседние услуги</x:v>
      </x:c>
    </x:row>
    <x:row r="19" ht="82" customHeight="1">
      <x:c r="A19" s="28" t="n">
        <x:v>15</x:v>
      </x:c>
      <x:c r="B19" s="28" t="str">
        <x:v>/mashinisty-spetstehniki/mashinisty-avtokrana/</x:v>
      </x:c>
      <x:c r="C19" s="28" t="str">
        <x:v>/mashinisty-spetstehniki/</x:v>
      </x:c>
      <x:c r="D19" s="28" t="str">
        <x:v>—</x:v>
      </x:c>
      <x:c r="E19" s="28" t="str">
        <x:v>Главная &gt; Машинисты спецтехники &gt; Машинисты автокрана</x:v>
      </x:c>
      <x:c r="F19" s="28" t="str">
        <x:v>Родитель; главная; 2–4 релевантные соседние услуги; CTA</x:v>
      </x:c>
      <x:c r="G19" s="28" t="str">
        <x:v>Главная (карточка); категория; соседние услуги</x:v>
      </x:c>
    </x:row>
    <x:row r="20" ht="82" customHeight="1">
      <x:c r="A20" s="28" t="n">
        <x:v>16</x:v>
      </x:c>
      <x:c r="B20" s="28" t="str">
        <x:v>/mashinisty-spetstehniki/mashinist-avtovyshki/</x:v>
      </x:c>
      <x:c r="C20" s="28" t="str">
        <x:v>/mashinisty-spetstehniki/</x:v>
      </x:c>
      <x:c r="D20" s="28" t="str">
        <x:v>—</x:v>
      </x:c>
      <x:c r="E20" s="28" t="str">
        <x:v>Главная &gt; Машинисты спецтехники &gt; Машинист автовышки и автогидроподъемника</x:v>
      </x:c>
      <x:c r="F20" s="28" t="str">
        <x:v>Родитель; главная; 2–4 релевантные соседние услуги; CTA</x:v>
      </x:c>
      <x:c r="G20" s="28" t="str">
        <x:v>Главная (карточка); категория; соседние услуги</x:v>
      </x:c>
    </x:row>
    <x:row r="21" ht="21.600000381469727" customHeight="1">
      <x:c r="A21" t="n">
        <x:v>17</x:v>
      </x:c>
      <x:c r="B21" t="str">
        <x:v>/mashinisty-spetstehniki/motorist-tsementirovochnogo-agregata/</x:v>
      </x:c>
      <x:c r="C21" t="str">
        <x:v>/mashinisty-spetstehniki/</x:v>
      </x:c>
      <x:c r="D21" t="str">
        <x:v>—</x:v>
      </x:c>
      <x:c r="E21" t="str">
        <x:v>Главная &gt; Машинисты спецтехники &gt; Моторист цементировочного агрегата</x:v>
      </x:c>
      <x:c r="F21" t="str">
        <x:v>Родитель; главная; заявка; 2–4 релевантных соседа</x:v>
      </x:c>
      <x:c r="G21" t="str">
        <x:v>Карточка категории; каталог главной; меню после готовности</x:v>
      </x:c>
    </x:row>
    <x:row r="22" ht="21.600000381469727" customHeight="1">
      <x:c r="A22" s="28" t="n">
        <x:v>18</x:v>
      </x:c>
      <x:c r="B22" s="28" t="str">
        <x:v>/mashinisty-spetstehniki/slesar-po-remontu-dst/</x:v>
      </x:c>
      <x:c r="C22" s="28" t="str">
        <x:v>/mashinisty-spetstehniki/</x:v>
      </x:c>
      <x:c r="D22" s="28" t="str">
        <x:v>—</x:v>
      </x:c>
      <x:c r="E22" s="28" t="str">
        <x:v>Главная &gt; Машинисты спецтехники &gt; Слесарь по ремонту ДСТ</x:v>
      </x:c>
      <x:c r="F22" s="28" t="str">
        <x:v>Родитель; главная; заявка; 2–4 релевантных соседа</x:v>
      </x:c>
      <x:c r="G22" s="28" t="str">
        <x:v>Карточка категории; каталог главной; меню после готовности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3.75" hidden="0" customWidth="1"/>
    <x:col min="3" max="3" width="30" hidden="0" customWidth="1"/>
    <x:col min="4" max="4" width="18.75" hidden="0" customWidth="1"/>
    <x:col min="5" max="5" width="13.75" hidden="0" customWidth="1"/>
    <x:col min="6" max="6" width="17.5" hidden="0" customWidth="1"/>
    <x:col min="7" max="7" width="16.25" hidden="0" customWidth="1"/>
  </x:cols>
  <x:sheetData>
    <x:row r="1" ht="32" customHeight="1">
      <x:c r="A1" s="12" t="str">
        <x:v>Служебные и технические маршруты</x:v>
      </x:c>
    </x:row>
    <x:row r="2" ht="30" customHeight="1">
      <x:c r="A2" s="16" t="str">
        <x:v>Эти маршруты не являются отдельными коммерческими SEO-страницами и не входят в число 16 страниц главного зеркала.</x:v>
      </x:c>
    </x:row>
    <x:row r="4">
      <x:c r="A4" s="21" t="str">
        <x:v>Маршрут</x:v>
      </x:c>
      <x:c r="B4" s="21" t="str">
        <x:v>Назначение</x:v>
      </x:c>
      <x:c r="C4" s="21" t="str">
        <x:v>Текущее состояние</x:v>
      </x:c>
      <x:c r="D4" s="21" t="str">
        <x:v>Индексация</x:v>
      </x:c>
      <x:c r="E4" s="21" t="str">
        <x:v>В sitemap</x:v>
      </x:c>
      <x:c r="F4" s="21" t="str">
        <x:v>Canonical</x:v>
      </x:c>
      <x:c r="G4" s="21" t="str">
        <x:v>Этап реализации</x:v>
      </x:c>
    </x:row>
    <x:row r="5" ht="55" customHeight="1">
      <x:c r="A5" s="27" t="str">
        <x:v>/request.html</x:v>
      </x:c>
      <x:c r="B5" s="27" t="str">
        <x:v>Форма заявки и сообщение «Спасибо»</x:v>
      </x:c>
      <x:c r="C5" s="27" t="str">
        <x:v>Существует; success/error через query-параметр</x:v>
      </x:c>
      <x:c r="D5" s="27" t="str">
        <x:v>noindex, follow</x:v>
      </x:c>
      <x:c r="E5" s="27" t="str">
        <x:v>Нет</x:v>
      </x:c>
      <x:c r="F5" s="27" t="str">
        <x:v>Не требуется</x:v>
      </x:c>
      <x:c r="G5" s="27" t="str">
        <x:v>Пункт 2</x:v>
      </x:c>
    </x:row>
    <x:row r="6" ht="55" customHeight="1">
      <x:c r="A6" s="28" t="str">
        <x:v>/send-request.php</x:v>
      </x:c>
      <x:c r="B6" s="28" t="str">
        <x:v>Серверная отправка заявки</x:v>
      </x:c>
      <x:c r="C6" s="28" t="str">
        <x:v>Существует</x:v>
      </x:c>
      <x:c r="D6" s="28" t="str">
        <x:v>Запрет индексации</x:v>
      </x:c>
      <x:c r="E6" s="28" t="str">
        <x:v>Нет</x:v>
      </x:c>
      <x:c r="F6" s="28" t="str">
        <x:v>Не требуется</x:v>
      </x:c>
      <x:c r="G6" s="28" t="str">
        <x:v>Пункт 2</x:v>
      </x:c>
    </x:row>
    <x:row r="7" ht="55" customHeight="1">
      <x:c r="A7" s="28" t="str">
        <x:v>/404.html</x:v>
      </x:c>
      <x:c r="B7" s="28" t="str">
        <x:v>Страница ошибки 404</x:v>
      </x:c>
      <x:c r="C7" s="28" t="str">
        <x:v>Не создана</x:v>
      </x:c>
      <x:c r="D7" s="28" t="str">
        <x:v>noindex, follow</x:v>
      </x:c>
      <x:c r="E7" s="28" t="str">
        <x:v>Нет</x:v>
      </x:c>
      <x:c r="F7" s="28" t="str">
        <x:v>Не требуется</x:v>
      </x:c>
      <x:c r="G7" s="28" t="str">
        <x:v>Пункт 2 / 20</x:v>
      </x:c>
    </x:row>
    <x:row r="8" ht="55" customHeight="1">
      <x:c r="A8" s="28" t="str">
        <x:v>/robots.txt</x:v>
      </x:c>
      <x:c r="B8" s="28" t="str">
        <x:v>Правила обхода</x:v>
      </x:c>
      <x:c r="C8" s="28" t="str">
        <x:v>Не создан</x:v>
      </x:c>
      <x:c r="D8" s="28" t="str">
        <x:v>Технический файл</x:v>
      </x:c>
      <x:c r="E8" s="28" t="str">
        <x:v>Нет</x:v>
      </x:c>
      <x:c r="F8" s="28" t="str">
        <x:v>Не требуется</x:v>
      </x:c>
      <x:c r="G8" s="28" t="str">
        <x:v>Пункт 20 / 21</x:v>
      </x:c>
    </x:row>
    <x:row r="9" ht="55" customHeight="1">
      <x:c r="A9" s="28" t="str">
        <x:v>/sitemap.xml</x:v>
      </x:c>
      <x:c r="B9" s="28" t="str">
        <x:v>Карта федеральных URL</x:v>
      </x:c>
      <x:c r="C9" s="28" t="str">
        <x:v>Не создан</x:v>
      </x:c>
      <x:c r="D9" s="28" t="str">
        <x:v>Технический файл</x:v>
      </x:c>
      <x:c r="E9" s="28" t="str">
        <x:v>Сам файл</x:v>
      </x:c>
      <x:c r="F9" s="28" t="str">
        <x:v>Не требуется</x:v>
      </x:c>
      <x:c r="G9" s="28" t="str">
        <x:v>Пункт 20 / 21</x:v>
      </x:c>
    </x:row>
    <x:row r="10" ht="55" customHeight="1">
      <x:c r="A10" s="28" t="str">
        <x:v>/assets/...</x:v>
      </x:c>
      <x:c r="B10" s="28" t="str">
        <x:v>Стили, изображения, иконки</x:v>
      </x:c>
      <x:c r="C10" s="28" t="str">
        <x:v>Существует частично</x:v>
      </x:c>
      <x:c r="D10" s="28" t="str">
        <x:v>Запрет не нужен</x:v>
      </x:c>
      <x:c r="E10" s="28" t="str">
        <x:v>Нет</x:v>
      </x:c>
      <x:c r="F10" s="28" t="str">
        <x:v>Не требуется</x:v>
      </x:c>
      <x:c r="G10" s="28" t="str">
        <x:v>Пункт 2</x:v>
      </x:c>
    </x:row>
    <x:row r="11">
      <x:c r="A11" t="str">
        <x:v>/mashinisty-spetstehniki/mashinist-avtogidropodemnika/</x:v>
      </x:c>
      <x:c r="B11" t="str">
        <x:v>Склеенный URL АГП</x:v>
      </x:c>
      <x:c r="C11" t="str">
        <x:v>Отдельная страница не создается; при публикации старого URL настроить 301 на страницу автовышки</x:v>
      </x:c>
      <x:c r="D11" t="str">
        <x:v>301 redirect</x:v>
      </x:c>
      <x:c r="E11" t="str">
        <x:v>Нет</x:v>
      </x:c>
      <x:c r="F11" t="str">
        <x:v>Canonical: /mashinisty-spetstehniki/mashinist-avtovyshki/</x:v>
      </x:c>
      <x:c r="G11" t="str">
        <x:v>Пункт 2 / 20</x:v>
      </x:c>
    </x:row>
  </x:sheetData>
  <x:mergeCells>
    <x:mergeCell ref="A1:G1"/>
    <x:mergeCell ref="A2:G2"/>
  </x:mergeCells>
  <x:conditionalFormatting sqref="C6:C10">
    <x:cfRule type="containsText" dxfId="3" priority="1" operator="containsText" text="Не создан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37.5" hidden="0" customWidth="1"/>
    <x:col min="3" max="3" width="45" hidden="0" customWidth="1"/>
    <x:col min="4" max="4" width="31.25" hidden="0" customWidth="1"/>
    <x:col min="5" max="5" width="16.25" hidden="0" customWidth="1"/>
  </x:cols>
  <x:sheetData>
    <x:row r="1" ht="32" customHeight="1">
      <x:c r="A1" s="12" t="str">
        <x:v>Шаблон региональных подпапок</x:v>
      </x:c>
    </x:row>
    <x:row r="2" ht="30" customHeight="1">
      <x:c r="A2" s="16" t="str">
        <x:v>Формат зафиксирован для будущего этапа. Генерация региональных страниц запрещена до утверждения полного федерального зеркала в пункте 21.</x:v>
      </x:c>
    </x:row>
    <x:row r="4">
      <x:c r="A4" s="21" t="str">
        <x:v>№</x:v>
      </x:c>
      <x:c r="B4" s="21" t="str">
        <x:v>Федеральный URL</x:v>
      </x:c>
      <x:c r="C4" s="21" t="str">
        <x:v>Шаблон регионального URL</x:v>
      </x:c>
      <x:c r="D4" s="21" t="str">
        <x:v>Правило canonical</x:v>
      </x:c>
      <x:c r="E4" s="21" t="str">
        <x:v>Статус</x:v>
      </x:c>
    </x:row>
    <x:row r="5" ht="42" customHeight="1">
      <x:c r="A5" s="27" t="n">
        <x:v>1</x:v>
      </x:c>
      <x:c r="B5" s="27" t="str">
        <x:v>/</x:v>
      </x:c>
      <x:c r="C5" s="97" t="str">
        <x:f>IF(B5="/","/{region-slug}/","/{region-slug}"&amp;B5)</x:f>
        <x:v>/{region-slug}/</x:v>
      </x:c>
      <x:c r="D5" s="27" t="str">
        <x:v>Self-canonical региональной страницы</x:v>
      </x:c>
      <x:c r="E5" s="95" t="str">
        <x:v>Только шаблон</x:v>
      </x:c>
    </x:row>
    <x:row r="6" ht="42" customHeight="1">
      <x:c r="A6" s="28" t="n">
        <x:v>2</x:v>
      </x:c>
      <x:c r="B6" s="28" t="str">
        <x:v>/voditel-spetstehnika/</x:v>
      </x:c>
      <x:c r="C6" s="98" t="str">
        <x:f>IF(B6="/","/{region-slug}/","/{region-slug}"&amp;B6)</x:f>
        <x:v>/{region-slug}/voditel-spetstehnika/</x:v>
      </x:c>
      <x:c r="D6" s="28" t="str">
        <x:v>Self-canonical региональной страницы</x:v>
      </x:c>
      <x:c r="E6" s="96" t="str">
        <x:v>Только шаблон</x:v>
      </x:c>
    </x:row>
    <x:row r="7" ht="42" customHeight="1">
      <x:c r="A7" s="28" t="n">
        <x:v>3</x:v>
      </x:c>
      <x:c r="B7" s="28" t="str">
        <x:v>/voditel-spetstehnika/voditel-gruzovogo-avtomobilya/</x:v>
      </x:c>
      <x:c r="C7" s="98" t="str">
        <x:f>IF(B7="/","/{region-slug}/","/{region-slug}"&amp;B7)</x:f>
        <x:v>/{region-slug}/voditel-spetstehnika/voditel-gruzovogo-avtomobilya/</x:v>
      </x:c>
      <x:c r="D7" s="28" t="str">
        <x:v>Self-canonical региональной страницы</x:v>
      </x:c>
      <x:c r="E7" s="96" t="str">
        <x:v>Только шаблон</x:v>
      </x:c>
    </x:row>
    <x:row r="8" ht="42" customHeight="1">
      <x:c r="A8" s="28" t="n">
        <x:v>4</x:v>
      </x:c>
      <x:c r="B8" s="28" t="str">
        <x:v>/voditel-spetstehnika/voditel-pogruzchika/</x:v>
      </x:c>
      <x:c r="C8" s="98" t="str">
        <x:f>IF(B8="/","/{region-slug}/","/{region-slug}"&amp;B8)</x:f>
        <x:v>/{region-slug}/voditel-spetstehnika/voditel-pogruzchika/</x:v>
      </x:c>
      <x:c r="D8" s="28" t="str">
        <x:v>Self-canonical региональной страницы</x:v>
      </x:c>
      <x:c r="E8" s="96" t="str">
        <x:v>Только шаблон</x:v>
      </x:c>
    </x:row>
    <x:row r="9" ht="42" customHeight="1">
      <x:c r="A9" s="28" t="n">
        <x:v>5</x:v>
      </x:c>
      <x:c r="B9" s="28" t="str">
        <x:v>/voditel-spetstehnika/voditel-samosvala/</x:v>
      </x:c>
      <x:c r="C9" s="98" t="str">
        <x:f>IF(B9="/","/{region-slug}/","/{region-slug}"&amp;B9)</x:f>
        <x:v>/{region-slug}/voditel-spetstehnika/voditel-samosvala/</x:v>
      </x:c>
      <x:c r="D9" s="28" t="str">
        <x:v>Self-canonical региональной страницы</x:v>
      </x:c>
      <x:c r="E9" s="96" t="str">
        <x:v>Только шаблон</x:v>
      </x:c>
    </x:row>
    <x:row r="10" ht="42" customHeight="1">
      <x:c r="A10" s="28" t="n">
        <x:v>6</x:v>
      </x:c>
      <x:c r="B10" s="28" t="str">
        <x:v>/voditel-spetstehnika/voditel-tyagacha/</x:v>
      </x:c>
      <x:c r="C10" s="98" t="str">
        <x:f>IF(B10="/","/{region-slug}/","/{region-slug}"&amp;B10)</x:f>
        <x:v>/{region-slug}/voditel-spetstehnika/voditel-tyagacha/</x:v>
      </x:c>
      <x:c r="D10" s="28" t="str">
        <x:v>Self-canonical региональной страницы</x:v>
      </x:c>
      <x:c r="E10" s="96" t="str">
        <x:v>Только шаблон</x:v>
      </x:c>
    </x:row>
    <x:row r="11" ht="42" customHeight="1">
      <x:c r="A11" s="28" t="n">
        <x:v>7</x:v>
      </x:c>
      <x:c r="B11" s="28" t="str">
        <x:v>/voditel-spetstehnika/toplivozapravschik/</x:v>
      </x:c>
      <x:c r="C11" s="98" t="str">
        <x:f>IF(B11="/","/{region-slug}/","/{region-slug}"&amp;B11)</x:f>
        <x:v>/{region-slug}/voditel-spetstehnika/toplivozapravschik/</x:v>
      </x:c>
      <x:c r="D11" s="28" t="str">
        <x:v>Self-canonical региональной страницы</x:v>
      </x:c>
      <x:c r="E11" s="96" t="str">
        <x:v>Только шаблон</x:v>
      </x:c>
    </x:row>
    <x:row r="12" ht="42" customHeight="1">
      <x:c r="A12" s="28" t="n">
        <x:v>8</x:v>
      </x:c>
      <x:c r="B12" s="28" t="str">
        <x:v>/voditel-spetstehnika/voditel-trala/</x:v>
      </x:c>
      <x:c r="C12" s="98" t="str">
        <x:f>IF(B12="/","/{region-slug}/","/{region-slug}"&amp;B12)</x:f>
        <x:v>/{region-slug}/voditel-spetstehnika/voditel-trala/</x:v>
      </x:c>
      <x:c r="D12" s="28" t="str">
        <x:v>Self-canonical региональной страницы</x:v>
      </x:c>
      <x:c r="E12" s="96" t="str">
        <x:v>Только шаблон</x:v>
      </x:c>
    </x:row>
    <x:row r="13" ht="42" customHeight="1">
      <x:c r="A13" s="28" t="n">
        <x:v>9</x:v>
      </x:c>
      <x:c r="B13" s="28" t="str">
        <x:v>/voditel-spetstehnika/voditel-vezdehoda/</x:v>
      </x:c>
      <x:c r="C13" s="98" t="str">
        <x:f>IF(B13="/","/{region-slug}/","/{region-slug}"&amp;B13)</x:f>
        <x:v>/{region-slug}/voditel-spetstehnika/voditel-vezdehoda/</x:v>
      </x:c>
      <x:c r="D13" s="28" t="str">
        <x:v>Self-canonical региональной страницы</x:v>
      </x:c>
      <x:c r="E13" s="96" t="str">
        <x:v>Только шаблон</x:v>
      </x:c>
    </x:row>
    <x:row r="14" ht="42" customHeight="1">
      <x:c r="A14" s="28" t="n">
        <x:v>10</x:v>
      </x:c>
      <x:c r="B14" s="28" t="str">
        <x:v>/voditel-spetstehnika/voditel-lomovoza/</x:v>
      </x:c>
      <x:c r="C14" s="98" t="str">
        <x:f>IF(B14="/","/{region-slug}/","/{region-slug}"&amp;B14)</x:f>
        <x:v>/{region-slug}/voditel-spetstehnika/voditel-lomovoza/</x:v>
      </x:c>
      <x:c r="D14" s="28" t="str">
        <x:v>Self-canonical региональной страницы</x:v>
      </x:c>
      <x:c r="E14" s="96" t="str">
        <x:v>Только шаблон</x:v>
      </x:c>
    </x:row>
    <x:row r="15" ht="42" customHeight="1">
      <x:c r="A15" s="28" t="n">
        <x:v>11</x:v>
      </x:c>
      <x:c r="B15" s="28" t="str">
        <x:v>/mashinisty-spetstehniki/</x:v>
      </x:c>
      <x:c r="C15" s="98" t="str">
        <x:f>IF(B15="/","/{region-slug}/","/{region-slug}"&amp;B15)</x:f>
        <x:v>/{region-slug}/mashinisty-spetstehniki/</x:v>
      </x:c>
      <x:c r="D15" s="28" t="str">
        <x:v>Self-canonical региональной страницы</x:v>
      </x:c>
      <x:c r="E15" s="96" t="str">
        <x:v>Только шаблон</x:v>
      </x:c>
    </x:row>
    <x:row r="16" ht="42" customHeight="1">
      <x:c r="A16" s="28" t="n">
        <x:v>12</x:v>
      </x:c>
      <x:c r="B16" s="28" t="str">
        <x:v>/mashinisty-spetstehniki/buldozeristy/</x:v>
      </x:c>
      <x:c r="C16" s="98" t="str">
        <x:f>IF(B16="/","/{region-slug}/","/{region-slug}"&amp;B16)</x:f>
        <x:v>/{region-slug}/mashinisty-spetstehniki/buldozeristy/</x:v>
      </x:c>
      <x:c r="D16" s="28" t="str">
        <x:v>Self-canonical региональной страницы</x:v>
      </x:c>
      <x:c r="E16" s="96" t="str">
        <x:v>Только шаблон</x:v>
      </x:c>
    </x:row>
    <x:row r="17" ht="42" customHeight="1">
      <x:c r="A17" s="28" t="n">
        <x:v>13</x:v>
      </x:c>
      <x:c r="B17" s="28" t="str">
        <x:v>/mashinisty-spetstehniki/mashinist-truboukladchika/</x:v>
      </x:c>
      <x:c r="C17" s="98" t="str">
        <x:f>IF(B17="/","/{region-slug}/","/{region-slug}"&amp;B17)</x:f>
        <x:v>/{region-slug}/mashinisty-spetstehniki/mashinist-truboukladchika/</x:v>
      </x:c>
      <x:c r="D17" s="28" t="str">
        <x:v>Self-canonical региональной страницы</x:v>
      </x:c>
      <x:c r="E17" s="96" t="str">
        <x:v>Только шаблон</x:v>
      </x:c>
    </x:row>
    <x:row r="18" ht="42" customHeight="1">
      <x:c r="A18" s="28" t="n">
        <x:v>14</x:v>
      </x:c>
      <x:c r="B18" s="28" t="str">
        <x:v>/mashinisty-spetstehniki/ekskavatorschik/</x:v>
      </x:c>
      <x:c r="C18" s="98" t="str">
        <x:f>IF(B18="/","/{region-slug}/","/{region-slug}"&amp;B18)</x:f>
        <x:v>/{region-slug}/mashinisty-spetstehniki/ekskavatorschik/</x:v>
      </x:c>
      <x:c r="D18" s="28" t="str">
        <x:v>Self-canonical региональной страницы</x:v>
      </x:c>
      <x:c r="E18" s="96" t="str">
        <x:v>Только шаблон</x:v>
      </x:c>
    </x:row>
    <x:row r="19" ht="42" customHeight="1">
      <x:c r="A19" s="28" t="n">
        <x:v>15</x:v>
      </x:c>
      <x:c r="B19" s="28" t="str">
        <x:v>/mashinisty-spetstehniki/mashinisty-avtokrana/</x:v>
      </x:c>
      <x:c r="C19" s="98" t="str">
        <x:f>IF(B19="/","/{region-slug}/","/{region-slug}"&amp;B19)</x:f>
        <x:v>/{region-slug}/mashinisty-spetstehniki/mashinisty-avtokrana/</x:v>
      </x:c>
      <x:c r="D19" s="28" t="str">
        <x:v>Self-canonical региональной страницы</x:v>
      </x:c>
      <x:c r="E19" s="96" t="str">
        <x:v>Только шаблон</x:v>
      </x:c>
    </x:row>
    <x:row r="20" ht="42" customHeight="1">
      <x:c r="A20" s="28" t="n">
        <x:v>16</x:v>
      </x:c>
      <x:c r="B20" s="28" t="str">
        <x:v>/mashinisty-spetstehniki/mashinist-avtovyshki/</x:v>
      </x:c>
      <x:c r="C20" s="98" t="str">
        <x:f>IF(B20="/","/{region-slug}/","/{region-slug}"&amp;B20)</x:f>
        <x:v>/{region-slug}/mashinisty-spetstehniki/mashinist-avtovyshki/</x:v>
      </x:c>
      <x:c r="D20" s="28" t="str">
        <x:v>Self-canonical региональной страницы</x:v>
      </x:c>
      <x:c r="E20" s="96" t="str">
        <x:v>Только шаблон</x:v>
      </x:c>
    </x:row>
    <x:row r="21" ht="21.600000381469727" customHeight="1">
      <x:c r="A21" t="n">
        <x:v>17</x:v>
      </x:c>
      <x:c r="B21" t="str">
        <x:v>/mashinisty-spetstehniki/motorist-tsementirovochnogo-agregata/</x:v>
      </x:c>
      <x:c r="C21" t="str">
        <x:v>/{region-slug}/mashinisty-spetstehniki/motorist-tsementirovochnogo-agregata/</x:v>
      </x:c>
      <x:c r="D21" t="str">
        <x:v>Self-canonical после запуска регионов</x:v>
      </x:c>
      <x:c r="E21" t="str">
        <x:v>Только шаблон; не генерировать</x:v>
      </x:c>
    </x:row>
    <x:row r="22" ht="21.600000381469727" customHeight="1">
      <x:c r="A22" s="28" t="n">
        <x:v>18</x:v>
      </x:c>
      <x:c r="B22" s="28" t="str">
        <x:v>/mashinisty-spetstehniki/slesar-po-remontu-dst/</x:v>
      </x:c>
      <x:c r="C22" s="98" t="str">
        <x:v>/{region-slug}/mashinisty-spetstehniki/slesar-po-remontu-dst/</x:v>
      </x:c>
      <x:c r="D22" s="28" t="str">
        <x:v>Self-canonical после запуска регионов</x:v>
      </x:c>
      <x:c r="E22" s="96" t="str">
        <x:v>Только шаблон; не генерировать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31.25" hidden="0" customWidth="1"/>
    <x:col min="3" max="3" width="65" hidden="0" customWidth="1"/>
    <x:col min="4" max="4" width="15" hidden="0" customWidth="1"/>
    <x:col min="5" max="5" width="41.25" hidden="0" customWidth="1"/>
    <x:col min="6" max="6" width="13.75" hidden="0" customWidth="1"/>
  </x:cols>
  <x:sheetData>
    <x:row r="1" ht="32" customHeight="1">
      <x:c r="A1" s="12" t="str">
        <x:v>Реестр источников пункта 1</x:v>
      </x:c>
    </x:row>
    <x:row r="2" ht="30" customHeight="1">
      <x:c r="A2" s="16" t="str">
        <x:v>Приоритет 0 — прямое решение пользователя; 1 — обязательные правила и дорожная карта; 2 — структура и семантика; 3 — текущая реализация.</x:v>
      </x:c>
    </x:row>
    <x:row r="4">
      <x:c r="A4" s="21" t="str">
        <x:v>Приоритет</x:v>
      </x:c>
      <x:c r="B4" s="21" t="str">
        <x:v>Источник</x:v>
      </x:c>
      <x:c r="C4" s="21" t="str">
        <x:v>Путь / решение</x:v>
      </x:c>
      <x:c r="D4" s="21" t="str">
        <x:v>Дата версии</x:v>
      </x:c>
      <x:c r="E4" s="21" t="str">
        <x:v>Роль</x:v>
      </x:c>
      <x:c r="F4" s="21" t="str">
        <x:v>Уровень доверия</x:v>
      </x:c>
    </x:row>
    <x:row r="5" ht="54" customHeight="1">
      <x:c r="A5" s="91" t="n">
        <x:v>1</x:v>
      </x:c>
      <x:c r="B5" s="27" t="str">
        <x:v>Дорожная карта создания сайта АБС.docx</x:v>
      </x:c>
      <x:c r="C5" s="27" t="str">
        <x:v>C:/Users/marke/АБС/правила/Дорожная карта создания сайта АБС.docx</x:v>
      </x:c>
      <x:c r="D5" s="27" t="str">
        <x:v>2026-07-30</x:v>
      </x:c>
      <x:c r="E5" s="27" t="str">
        <x:v>Определяет состав и порядок пункта 1</x:v>
      </x:c>
      <x:c r="F5" s="27" t="str">
        <x:v>1</x:v>
      </x:c>
    </x:row>
    <x:row r="6" ht="54" customHeight="1">
      <x:c r="A6" s="92" t="n">
        <x:v>2</x:v>
      </x:c>
      <x:c r="B6" s="28" t="str">
        <x:v>Обязательный алгоритм дизайна и верстки</x:v>
      </x:c>
      <x:c r="C6" s="28" t="str">
        <x:v>C:/Users/marke/АБС/правила/алгоритм-дизайна-и-верстки.md</x:v>
      </x:c>
      <x:c r="D6" s="28" t="str">
        <x:v>актуальная версия</x:v>
      </x:c>
      <x:c r="E6" s="28" t="str">
        <x:v>Определяет приоритет структуры и семантики</x:v>
      </x:c>
      <x:c r="F6" s="28" t="str">
        <x:v>1</x:v>
      </x:c>
    </x:row>
    <x:row r="7" ht="54" customHeight="1">
      <x:c r="A7" s="92" t="n">
        <x:v>3</x:v>
      </x:c>
      <x:c r="B7" s="28" t="str">
        <x:v>Структура сайта ABS SEO updated</x:v>
      </x:c>
      <x:c r="C7" s="28" t="str">
        <x:v>C:/Users/marke/АБС/The structure and semantics of the website/struktura_saita_ABS_SEO_updated.xlsx</x:v>
      </x:c>
      <x:c r="D7" s="28" t="str">
        <x:v>2026-07-15</x:v>
      </x:c>
      <x:c r="E7" s="28" t="str">
        <x:v>Основной источник URL, H1, кластеров и уровней</x:v>
      </x:c>
      <x:c r="F7" s="28" t="str">
        <x:v>1</x:v>
      </x:c>
    </x:row>
    <x:row r="8" ht="54" customHeight="1">
      <x:c r="A8" s="92" t="n">
        <x:v>4</x:v>
      </x:c>
      <x:c r="B8" s="28" t="str">
        <x:v>Графическая карта сайта ABS updated</x:v>
      </x:c>
      <x:c r="C8" s="28" t="str">
        <x:v>C:/Users/marke/АБС/The structure and semantics of the website/graficheskaya_karta_saita_ABS_updated.png</x:v>
      </x:c>
      <x:c r="D8" s="28" t="str">
        <x:v>2026-07-15</x:v>
      </x:c>
      <x:c r="E8" s="28" t="str">
        <x:v>Визуальная проверка дерева 1 + 2 + 13</x:v>
      </x:c>
      <x:c r="F8" s="28" t="str">
        <x:v>2</x:v>
      </x:c>
    </x:row>
    <x:row r="9" ht="54" customHeight="1">
      <x:c r="A9" s="92" t="n">
        <x:v>5</x:v>
      </x:c>
      <x:c r="B9" s="28" t="str">
        <x:v>Семантическое ядро Сайт АБС</x:v>
      </x:c>
      <x:c r="C9" s="28" t="str">
        <x:v>C:/Users/marke/АБС/The structure and semantics of the website/Семантическое ядро Сайт АБС.xlsx</x:v>
      </x:c>
      <x:c r="D9" s="28" t="str">
        <x:v>2026-07-15</x:v>
      </x:c>
      <x:c r="E9" s="28" t="str">
        <x:v>Полные фразы и частотность по 16 кластерам</x:v>
      </x:c>
      <x:c r="F9" s="28" t="str">
        <x:v>2</x:v>
      </x:c>
    </x:row>
    <x:row r="10" ht="54" customHeight="1">
      <x:c r="A10" s="92" t="n">
        <x:v>6</x:v>
      </x:c>
      <x:c r="B10" s="28" t="str">
        <x:v>Текущий прототип главной</x:v>
      </x:c>
      <x:c r="C10" s="28" t="str">
        <x:v>C:/Users/marke/АБС/index.html</x:v>
      </x:c>
      <x:c r="D10" s="28" t="str">
        <x:v>2026-08-03</x:v>
      </x:c>
      <x:c r="E10" s="28" t="str">
        <x:v>Проверка состава блока «Кого подбираем» и текущих служебных маршрутов</x:v>
      </x:c>
      <x:c r="F10" s="28" t="str">
        <x:v>3</x:v>
      </x:c>
    </x:row>
    <x:row r="11" ht="54" customHeight="1">
      <x:c r="A11" s="92" t="n">
        <x:v>7</x:v>
      </x:c>
      <x:c r="B11" s="28" t="str">
        <x:v>Прямое решение пользователя</x:v>
      </x:c>
      <x:c r="C11" s="28" t="str">
        <x:v>URL из дорожной карты являются эталонными</x:v>
      </x:c>
      <x:c r="D11" s="28" t="str">
        <x:v>2026-07-30</x:v>
      </x:c>
      <x:c r="E11" s="28" t="str">
        <x:v>Снимает противоречие с временными href прототипа</x:v>
      </x:c>
      <x:c r="F11" s="28" t="str">
        <x:v>0</x:v>
      </x:c>
    </x:row>
    <x:row r="12" ht="15" customHeight="1">
      <x:c r="A12" s="92" t="n">
        <x:v>0</x:v>
      </x:c>
      <x:c r="B12" s="28" t="str">
        <x:v>Новые специальности</x:v>
      </x:c>
      <x:c r="C12" s="28" t="str">
        <x:v>Решение пользователя от 22.10.2026</x:v>
      </x:c>
      <x:c r="D12" s="28" t="str">
        <x:v>2026-10-22</x:v>
      </x:c>
      <x:c r="E12" s="28" t="str">
        <x:v>Две страницы, пункты 18а и 18б</x:v>
      </x:c>
      <x:c r="F12" s="28" t="str">
        <x:v>Прямое указание</x:v>
      </x:c>
    </x:row>
    <x:row r="13" ht="32.400001525878906" customHeight="1">
      <x:c r="A13" s="92" t="n">
        <x:v>2</x:v>
      </x:c>
      <x:c r="B13" s="28" t="str">
        <x:v>HEAAD</x:v>
      </x:c>
      <x:c r="C13" s="28" t="str">
        <x:v>https://heaad.ru/poisk-i-podbor-personala/motorist-tsementirovochnogo-agregata/</x:v>
      </x:c>
      <x:c r="D13" s="28" t="str">
        <x:v>2026-10-22</x:v>
      </x:c>
      <x:c r="E13" s="28" t="str">
        <x:v>Подбор персонала, точная специальность</x:v>
      </x:c>
      <x:c r="F13" s="28" t="str">
        <x:v>Источник формулировок, не частотности</x:v>
      </x:c>
    </x:row>
    <x:row r="14" ht="32.400001525878906" customHeight="1">
      <x:c r="A14" s="92" t="n">
        <x:v>2</x:v>
      </x:c>
      <x:c r="B14" s="28" t="str">
        <x:v>HEAAD</x:v>
      </x:c>
      <x:c r="C14" s="28" t="str">
        <x:v>https://heaad.ru/poisk-i-podbor-personala/slesar-po-remontu-dorozhno-stroitelnoi-tekhniki-i-traktorov/</x:v>
      </x:c>
      <x:c r="D14" s="28" t="str">
        <x:v>2026-10-22</x:v>
      </x:c>
      <x:c r="E14" s="28" t="str">
        <x:v>Подбор персонала, точная специальность</x:v>
      </x:c>
      <x:c r="F14" s="28" t="str">
        <x:v>Источник формулировок, не частотности</x:v>
      </x:c>
    </x:row>
    <x:row r="15" ht="32.400001525878906" customHeight="1">
      <x:c r="A15" s="92" t="n">
        <x:v>2</x:v>
      </x:c>
      <x:c r="B15" s="28" t="str">
        <x:v>UP business</x:v>
      </x:c>
      <x:c r="C15" s="28" t="str">
        <x:v>https://upinc.ru/podbor/avtoservis/slesar-remontu-dorozhno-stroitelnoj-tekhniki/</x:v>
      </x:c>
      <x:c r="D15" s="28" t="str">
        <x:v>2026-10-22</x:v>
      </x:c>
      <x:c r="E15" s="28" t="str">
        <x:v>Подбор персонала, точная специальность</x:v>
      </x:c>
      <x:c r="F15" s="28" t="str">
        <x:v>Источник формулировок, не частотности</x:v>
      </x:c>
    </x:row>
    <x:row r="16" ht="97.19999694824219" customHeight="1">
      <x:c r="A16" s="92" t="n">
        <x:v>2</x:v>
      </x:c>
      <x:c r="B16" s="28" t="str">
        <x:v>ММЦ ПЕРСОНАЛ</x:v>
      </x:c>
      <x:c r="C16" s="28" t="str">
        <x:v>https://mmc-rspp.ru/m/staffleasing/view/%D0%BF%D0%BE%D0%B4%D0%B1%D0%BE%D1%80-%D0%BF%D0%B5%D1%80%D1%81%D0%BE%D0%BD%D0%B0%D0%BB%D0%B0-%D0%BD%D0%B0-%D0%B2%D0%B0%D0%BA%D0%B0%D0%BD%D1%81%D0%B8%D1%8E-%D1%81%D0%BB%D0%B5%D1%81%D0%B0%D1%80%D1%8C-%D0%BF%D0%BE-%D1%80%D0%B5%D0%BC%D0%BE%D0%BD%D1%82%D1%83-%D0%B4%D0%BE%D1%80%D0%BE%D0%B6%D0%BD%D0%BE-%D1%81%D1%82%D1%80%D0%BE%D0%B8%D1%82%D0%B5%D0%BB%D1%8C%D0%BD%D1%8B%D1%85-%D0%BC%D0%B0%D1%88%D0%B8%D0%BD-%D0%B8-%D1%82%D1%80%D0%B0%D0%BA%D1%82%D0%BE%D1%80%D0%BE%D0%B2-6-%D0%B9-%D1%80%D0%B0%D0%B7%D1%80%D1%8F%D0%B4</x:v>
      </x:c>
      <x:c r="D16" s="28" t="str">
        <x:v>2026-10-22</x:v>
      </x:c>
      <x:c r="E16" s="28" t="str">
        <x:v>Лизинг и предоставление персонала, точная специальность</x:v>
      </x:c>
      <x:c r="F16" s="28" t="str">
        <x:v>Источник формулировок, не частотности</x:v>
      </x:c>
    </x:row>
    <x:row r="17" ht="32.400001525878906" customHeight="1">
      <x:c r="A17" s="92" t="n">
        <x:v>2</x:v>
      </x:c>
      <x:c r="B17" s="28" t="str">
        <x:v>Стафф-Б</x:v>
      </x:c>
      <x:c r="C17" s="28" t="str">
        <x:v>https://staff-b.ru/msk/autstaffing/proizvodstvo/slesari</x:v>
      </x:c>
      <x:c r="D17" s="28" t="str">
        <x:v>2026-10-22</x:v>
      </x:c>
      <x:c r="E17" s="28" t="str">
        <x:v>Аутстаффинг, смежная широкая специальность</x:v>
      </x:c>
      <x:c r="F17" s="28" t="str">
        <x:v>Источник формулировок, не частотности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22.5" hidden="0" customWidth="1"/>
    <x:col min="3" max="3" width="40" hidden="0" customWidth="1"/>
    <x:col min="4" max="4" width="45" hidden="0" customWidth="1"/>
    <x:col min="5" max="5" width="20" hidden="0" customWidth="1"/>
    <x:col min="6" max="6" width="13.75" hidden="0" customWidth="1"/>
    <x:col min="7" max="7" width="32.5" hidden="0" customWidth="1"/>
  </x:cols>
  <x:sheetData>
    <x:row r="1" ht="32" customHeight="1">
      <x:c r="A1" s="12" t="str">
        <x:v>Решения и вопросы согласования</x:v>
      </x:c>
    </x:row>
    <x:row r="2" ht="30" customHeight="1">
      <x:c r="A2" s="16" t="str">
        <x:v>Зеленые строки уже определены прямыми указаниями. Красные и желтые требуют подтверждения при приемке пункта 1.</x:v>
      </x:c>
    </x:row>
    <x:row r="4">
      <x:c r="A4" s="21" t="str">
        <x:v>№</x:v>
      </x:c>
      <x:c r="B4" s="21" t="str">
        <x:v>Тема</x:v>
      </x:c>
      <x:c r="C4" s="21" t="str">
        <x:v>Обнаружено</x:v>
      </x:c>
      <x:c r="D4" s="21" t="str">
        <x:v>Рекомендация</x:v>
      </x:c>
      <x:c r="E4" s="21" t="str">
        <x:v>Влияние</x:v>
      </x:c>
      <x:c r="F4" s="21" t="str">
        <x:v>Статус</x:v>
      </x:c>
      <x:c r="G4" s="21" t="str">
        <x:v>Решение пользователя</x:v>
      </x:c>
    </x:row>
    <x:row r="5" ht="72" customHeight="1">
      <x:c r="A5" s="29" t="n">
        <x:v>1</x:v>
      </x:c>
      <x:c r="B5" s="29" t="str">
        <x:v>Canonical URL</x:v>
      </x:c>
      <x:c r="C5" s="29" t="str">
        <x:v>В прототипе href отличаются от дорожной карты</x:v>
      </x:c>
      <x:c r="D5" s="29" t="str">
        <x:v>Использовать URL из дорожной карты без изменений</x:v>
      </x:c>
      <x:c r="E5" s="29" t="str">
        <x:v>Все страницы</x:v>
      </x:c>
      <x:c r="F5" s="29" t="str">
        <x:v>Решено</x:v>
      </x:c>
      <x:c r="G5" s="29" t="str">
        <x:v>URL дорожной карты эталонные</x:v>
      </x:c>
    </x:row>
    <x:row r="6" ht="72" customHeight="1">
      <x:c r="A6" s="99" t="n">
        <x:v>2</x:v>
      </x:c>
      <x:c r="B6" s="99" t="str">
        <x:v>H1 всех страниц</x:v>
      </x:c>
      <x:c r="C6" s="99" t="str">
        <x:v>Все 16 H1 проверены: технические формы и несклоненные ключи устранены</x:v>
      </x:c>
      <x:c r="D6" s="99" t="str">
        <x:v>Использовать человекопонятные формулировки из паспорта структуры</x:v>
      </x:c>
      <x:c r="E6" s="99" t="str">
        <x:v>Все страницы</x:v>
      </x:c>
      <x:c r="F6" s="99" t="str">
        <x:v>Решено</x:v>
      </x:c>
      <x:c r="G6" s="99" t="str">
        <x:v>Специалисты указаны в естественной форме множественного числа; падежи и окончания исправлены</x:v>
      </x:c>
    </x:row>
    <x:row r="7" ht="72" customHeight="1">
      <x:c r="A7" s="100" t="n">
        <x:v>3</x:v>
      </x:c>
      <x:c r="B7" s="100" t="str">
        <x:v>Автовышка и АГП</x:v>
      </x:c>
      <x:c r="C7" s="100" t="str">
        <x:v>Кластеры описывают одного специалиста и пересекаются по коммерческому интенту</x:v>
      </x:c>
      <x:c r="D7" s="100" t="str">
        <x:v>Объединить запросы, H1 и содержание в одну страницу автовышки</x:v>
      </x:c>
      <x:c r="E7" s="100" t="str">
        <x:v>Пункт 18; структура; семантическое ядро</x:v>
      </x:c>
      <x:c r="F7" s="100" t="str">
        <x:v>Решено</x:v>
      </x:c>
      <x:c r="G7" s="100" t="str">
        <x:v>Склеить две страницы в одну; основной URL — /mashinisty-spetstehniki/mashinist-avtovyshki/</x:v>
      </x:c>
    </x:row>
    <x:row r="8" ht="72" customHeight="1">
      <x:c r="A8" s="96" t="n">
        <x:v>4</x:v>
      </x:c>
      <x:c r="B8" s="96" t="str">
        <x:v>Формат заявок</x:v>
      </x:c>
      <x:c r="C8" s="96" t="str">
        <x:v>Главный текст переведен на групповые запросы, но в текущем блоке преимуществ остается «точечный подбор»</x:v>
      </x:c>
      <x:c r="D8" s="96" t="str">
        <x:v>Зафиксировать групповой формат и исключить обещание точечного подбора</x:v>
      </x:c>
      <x:c r="E8" s="96" t="str">
        <x:v>Главная и все CTA</x:v>
      </x:c>
      <x:c r="F8" s="96" t="str">
        <x:v>Открыт</x:v>
      </x:c>
      <x:c r="G8" s="96" t="str"/>
    </x:row>
    <x:row r="9" ht="72" customHeight="1">
      <x:c r="A9" s="96" t="n">
        <x:v>5</x:v>
      </x:c>
      <x:c r="B9" s="96" t="str">
        <x:v>Граница услуги</x:v>
      </x:c>
      <x:c r="C9" s="96" t="str">
        <x:v>В ядре есть «аутсорсинг» и «аутстаффинг», а сайт продает подбор кандидатов</x:v>
      </x:c>
      <x:c r="D9" s="96" t="str">
        <x:v>Не использовать аутсорсинг/аутстаффинг как обещание без отдельной подтвержденной услуги</x:v>
      </x:c>
      <x:c r="E9" s="96" t="str">
        <x:v>Главная и грузовые водители</x:v>
      </x:c>
      <x:c r="F9" s="96" t="str">
        <x:v>Открыт</x:v>
      </x:c>
      <x:c r="G9" s="96" t="str"/>
    </x:row>
    <x:row r="10" ht="72" customHeight="1">
      <x:c r="A10" s="98" t="n">
        <x:v>6</x:v>
      </x:c>
      <x:c r="B10" s="98" t="str">
        <x:v>Региональная модель</x:v>
      </x:c>
      <x:c r="C10" s="98" t="str">
        <x:v>Нужно сохранить все 16 URL внутри подпапки города</x:v>
      </x:c>
      <x:c r="D10" s="98" t="str">
        <x:v>Использовать /{region-slug}/... только после приемки федерального зеркала</x:v>
      </x:c>
      <x:c r="E10" s="98" t="str">
        <x:v>Пункты 22–24</x:v>
      </x:c>
      <x:c r="F10" s="98" t="str">
        <x:v>К утверждению</x:v>
      </x:c>
      <x:c r="G10" s="98" t="str"/>
    </x:row>
    <x:row r="11" ht="21.600000381469727" customHeight="1">
      <x:c r="A11" s="98" t="n">
        <x:v>7</x:v>
      </x:c>
      <x:c r="B11" s="98" t="str">
        <x:v>Моторист цементировочного агрегата</x:v>
      </x:c>
      <x:c r="C11" s="98" t="str">
        <x:v>В исходном ядре отсутствует</x:v>
      </x:c>
      <x:c r="D11" s="98" t="str">
        <x:v>Отдельная страница; источники и маски собраны</x:v>
      </x:c>
      <x:c r="E11" s="98" t="str">
        <x:v>Пункт 18а</x:v>
      </x:c>
      <x:c r="F11" s="98" t="str">
        <x:v>Добавлено в план</x:v>
      </x:c>
      <x:c r="G11" s="98" t="str">
        <x:v>Пользователь подтвердил специальность</x:v>
      </x:c>
    </x:row>
    <x:row r="12" ht="21.600000381469727" customHeight="1">
      <x:c r="A12" s="98" t="n">
        <x:v>8</x:v>
      </x:c>
      <x:c r="B12" s="98" t="str">
        <x:v>Слесарь по ремонту ДСТ</x:v>
      </x:c>
      <x:c r="C12" s="98" t="str">
        <x:v>В исходном ядре отсутствует</x:v>
      </x:c>
      <x:c r="D12" s="98" t="str">
        <x:v>Отдельная страница; ДСТ раскрыть как дорожно-строительную технику</x:v>
      </x:c>
      <x:c r="E12" s="98" t="str">
        <x:v>Пункт 18б</x:v>
      </x:c>
      <x:c r="F12" s="98" t="str">
        <x:v>Добавлено в план</x:v>
      </x:c>
      <x:c r="G12" s="98" t="str">
        <x:v>Прямое указание пользователя</x:v>
      </x:c>
    </x:row>
    <x:row r="13" ht="21.600000381469727" customHeight="1">
      <x:c r="A13" s="98" t="n">
        <x:v>9</x:v>
      </x:c>
      <x:c r="B13" s="98" t="str">
        <x:v>Размещение новых специальностей</x:v>
      </x:c>
      <x:c r="C13" s="98" t="str">
        <x:v>Пока используется существующая ветка специалистов спецтехники</x:v>
      </x:c>
      <x:c r="D13" s="98" t="str">
        <x:v>Не переименовывать категорию; уточнить место в меню перед интеграцией</x:v>
      </x:c>
      <x:c r="E13" s="98" t="str">
        <x:v>Навигация</x:v>
      </x:c>
      <x:c r="F13" s="98" t="str">
        <x:v>Рабочее решение</x:v>
      </x:c>
    </x:row>
    <x:row r="14" ht="21.600000381469727" customHeight="1">
      <x:c r="A14" s="98" t="n">
        <x:v>10</x:v>
      </x:c>
      <x:c r="B14" s="98" t="str">
        <x:v>Частотность новых кластеров</x:v>
      </x:c>
      <x:c r="C14" s="98" t="str">
        <x:v>У конкурентов найдены формулировки, спрос не измерен</x:v>
      </x:c>
      <x:c r="D14" s="98" t="str">
        <x:v>Проверить частотности отдельно; не записывать нули</x:v>
      </x:c>
      <x:c r="E14" s="98" t="str">
        <x:v>Обе новые страницы</x:v>
      </x:c>
      <x:c r="F14" s="98" t="str">
        <x:v>Не проверена</x:v>
      </x:c>
    </x:row>
  </x:sheetData>
  <x:mergeCells>
    <x:mergeCell ref="A1:G1"/>
    <x:mergeCell ref="A2:G2"/>
  </x:mergeCells>
  <x:dataValidations count="1">
    <x:dataValidation type="list" sqref="F5:F10">
      <x:formula1>"Решено,Открыт,К утверждению"</x:formula1>
    </x:dataValidation>
  </x:dataValidations>
  <x:pageMargins left="0.7" right="0.7" top="0.75" bottom="0.75" header="0.3" footer="0.3"/>
</x:worksheet>
</file>