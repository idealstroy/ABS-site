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ke\АБС\The structure and semantics of the website\"/>
    </mc:Choice>
  </mc:AlternateContent>
  <xr:revisionPtr revIDLastSave="0" documentId="13_ncr:1_{A526FA05-0E4F-42E1-8228-E83CEA7B8FE6}" xr6:coauthVersionLast="47" xr6:coauthVersionMax="47" xr10:uidLastSave="{00000000-0000-0000-0000-000000000000}"/>
  <bookViews>
    <workbookView xWindow="-98" yWindow="-98" windowWidth="24196" windowHeight="14476" firstSheet="14" activeTab="18" xr2:uid="{00000000-000D-0000-FFFF-FFFF00000000}"/>
  </bookViews>
  <sheets>
    <sheet name="Карта" sheetId="1" r:id="rId1"/>
    <sheet name="Подбор персонала  Главная" sheetId="2" r:id="rId2"/>
    <sheet name="водитель спецтехника" sheetId="3" r:id="rId3"/>
    <sheet name="водитель грузового автомобиля" sheetId="4" r:id="rId4"/>
    <sheet name="водитель погрузчика" sheetId="5" r:id="rId5"/>
    <sheet name="водитель самосвала" sheetId="6" r:id="rId6"/>
    <sheet name="водитель тягача" sheetId="7" r:id="rId7"/>
    <sheet name="Топливозаправщик" sheetId="8" r:id="rId8"/>
    <sheet name="водитель трала" sheetId="9" r:id="rId9"/>
    <sheet name="водитель вездехода" sheetId="10" r:id="rId10"/>
    <sheet name="водитель ломовоза" sheetId="11" r:id="rId11"/>
    <sheet name="машинисты спецтехники" sheetId="12" r:id="rId12"/>
    <sheet name="бульдозеристы" sheetId="13" r:id="rId13"/>
    <sheet name="машинист трубоукладчика" sheetId="14" r:id="rId14"/>
    <sheet name="экскаваторщик" sheetId="15" r:id="rId15"/>
    <sheet name="машинисты автокрана" sheetId="16" r:id="rId16"/>
    <sheet name="машинист автовышки и автогидроп" sheetId="17" r:id="rId17"/>
    <sheet name="Справка" sheetId="19" r:id="rId18"/>
    <sheet name="водители категории B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20" l="1"/>
  <c r="C18" i="20"/>
  <c r="D29" i="17"/>
</calcChain>
</file>

<file path=xl/sharedStrings.xml><?xml version="1.0" encoding="utf-8"?>
<sst xmlns="http://schemas.openxmlformats.org/spreadsheetml/2006/main" count="875" uniqueCount="690">
  <si>
    <t>Подбор персонала / Главная</t>
  </si>
  <si>
    <t>водитель спецтехника</t>
  </si>
  <si>
    <t>водитель грузового автомобиля</t>
  </si>
  <si>
    <t>водитель погрузчика</t>
  </si>
  <si>
    <t>водитель самосвала</t>
  </si>
  <si>
    <t>водитель тягача</t>
  </si>
  <si>
    <t>Топливозаправщик</t>
  </si>
  <si>
    <t>водитель трала</t>
  </si>
  <si>
    <t>водитель вездехода</t>
  </si>
  <si>
    <t>водитель ломовоза</t>
  </si>
  <si>
    <t>машинисты спецтехники</t>
  </si>
  <si>
    <t>бульдозеристы</t>
  </si>
  <si>
    <t>машинист трубоукладчика</t>
  </si>
  <si>
    <t>экскаваторщик</t>
  </si>
  <si>
    <t>машинисты автокрана</t>
  </si>
  <si>
    <t>[Перейти в карту выгрузки]</t>
  </si>
  <si>
    <t>Фраза</t>
  </si>
  <si>
    <t>Дата добавления фразы</t>
  </si>
  <si>
    <t>База [YW]</t>
  </si>
  <si>
    <t>"!" [YW]</t>
  </si>
  <si>
    <t>SERP документы [Yandex]</t>
  </si>
  <si>
    <t>SERP глав. страницы [Yandex]</t>
  </si>
  <si>
    <t>SERP заголовки [Yandex]</t>
  </si>
  <si>
    <t>подбор персонала</t>
  </si>
  <si>
    <t>подбор персонала быстро</t>
  </si>
  <si>
    <t>подбор вахтового персонала</t>
  </si>
  <si>
    <t>аутсорсинг подбора персонала</t>
  </si>
  <si>
    <t>подбор строительного персонала</t>
  </si>
  <si>
    <t>услуги подбор персонала</t>
  </si>
  <si>
    <t>подбор персонала услуги</t>
  </si>
  <si>
    <t>центр подбора персонала</t>
  </si>
  <si>
    <t>нужен подбор персонала</t>
  </si>
  <si>
    <t>точечный подбор персонала</t>
  </si>
  <si>
    <t>стоимость подбора персонала</t>
  </si>
  <si>
    <t>подбор рабочего персонала</t>
  </si>
  <si>
    <t>окз подбор персонала</t>
  </si>
  <si>
    <t>заказать подбор персонала</t>
  </si>
  <si>
    <t>подбор производственного персонала</t>
  </si>
  <si>
    <t>профессиональный подбор персонала</t>
  </si>
  <si>
    <t>служба подбора персонала</t>
  </si>
  <si>
    <t>подбор кадрового персонала</t>
  </si>
  <si>
    <t>качественный подбор персонала</t>
  </si>
  <si>
    <t>подбор персонала россия</t>
  </si>
  <si>
    <t>рекрутмент подбор персонала</t>
  </si>
  <si>
    <t>подбор персонала цена</t>
  </si>
  <si>
    <t>эффективный подбор персонала</t>
  </si>
  <si>
    <t>процедура подбора персонала</t>
  </si>
  <si>
    <t>подбор технического персонала</t>
  </si>
  <si>
    <t>подбор хорошего персонала</t>
  </si>
  <si>
    <t>подбор персонала отзывы</t>
  </si>
  <si>
    <t>оперативный подбор персонала</t>
  </si>
  <si>
    <t>подбор персонала срочно</t>
  </si>
  <si>
    <t>срочный подбор персонала</t>
  </si>
  <si>
    <t>аутсорс подбор персонала</t>
  </si>
  <si>
    <t>отзывы подбор персонала</t>
  </si>
  <si>
    <t>подбор персонала рабочего</t>
  </si>
  <si>
    <t>подбора персонала стоимость</t>
  </si>
  <si>
    <t>подбор персонала эффективный</t>
  </si>
  <si>
    <t>подбор рекрутинг персонала</t>
  </si>
  <si>
    <t>подбор персонала технического</t>
  </si>
  <si>
    <t>цена подбор персонала</t>
  </si>
  <si>
    <t>подбор рекрутмент персонала</t>
  </si>
  <si>
    <t>подбор персонала рекрутмент</t>
  </si>
  <si>
    <t>агентство по подбору персонала</t>
  </si>
  <si>
    <t>заявка на подбор персонала</t>
  </si>
  <si>
    <t>компания по подбору персонала</t>
  </si>
  <si>
    <t>сайт по подбору персонала</t>
  </si>
  <si>
    <t>фирма по подбору персонала</t>
  </si>
  <si>
    <t>подбор персонала в строительстве</t>
  </si>
  <si>
    <t>подбор персонала в организации</t>
  </si>
  <si>
    <t>помощь в подборе персонала</t>
  </si>
  <si>
    <t>сервис по подбору персонала</t>
  </si>
  <si>
    <t>подбор персонала на вахту</t>
  </si>
  <si>
    <t>подбор персонала услуги цена</t>
  </si>
  <si>
    <t>оплата за подбор персонала</t>
  </si>
  <si>
    <t>деятельность по подбору персонала</t>
  </si>
  <si>
    <t>подбор персонала цена услуги</t>
  </si>
  <si>
    <t>площадки для подбора персонала</t>
  </si>
  <si>
    <t>консультант по подбору персонала</t>
  </si>
  <si>
    <t>сколько стоит подбор персонала</t>
  </si>
  <si>
    <t>тарифы на подбор персонала</t>
  </si>
  <si>
    <t>затраты на подбор персонала</t>
  </si>
  <si>
    <t>стоимость подбора массового персонала</t>
  </si>
  <si>
    <t>рекрут по подбору персонала</t>
  </si>
  <si>
    <t>подбор персонала в зеленограде</t>
  </si>
  <si>
    <t>компании занимающиеся подбором персонала</t>
  </si>
  <si>
    <t>расходы на подбор персонала</t>
  </si>
  <si>
    <t>эксперт по подбору персонала</t>
  </si>
  <si>
    <t>подбор и предоставление персонала</t>
  </si>
  <si>
    <t>автоматизированные системы подбора персонала</t>
  </si>
  <si>
    <t>консалтинговая компания подбор персонала</t>
  </si>
  <si>
    <t>подбор персонала услуги агентства</t>
  </si>
  <si>
    <t>трудоустройство и подбор персонала</t>
  </si>
  <si>
    <t>системы автоматизации подбора персонала</t>
  </si>
  <si>
    <t>аутсорс по подбору персонала</t>
  </si>
  <si>
    <t>подбор персонала на стройку</t>
  </si>
  <si>
    <t>контора по подбору персонала</t>
  </si>
  <si>
    <t>организация массового подбора персонала</t>
  </si>
  <si>
    <t>расценки на подбор персонала</t>
  </si>
  <si>
    <t>подбор персонала как осуществляется</t>
  </si>
  <si>
    <t>как осуществляется подбор персонала</t>
  </si>
  <si>
    <t>стоимость массового подбора персонала</t>
  </si>
  <si>
    <t>подбор персонала поиск персонала</t>
  </si>
  <si>
    <t>подбор персонала сколько стоит</t>
  </si>
  <si>
    <t>аутсорсинг подбора персонала стоимость</t>
  </si>
  <si>
    <t>кадровое агентство по подбору персонала</t>
  </si>
  <si>
    <t>рекрутинговое агентство по подбору персонала</t>
  </si>
  <si>
    <t>аутсорсинговая компания по подбору персонала</t>
  </si>
  <si>
    <t>оказание услуг по подбору персонала</t>
  </si>
  <si>
    <t>стоимость услуг по подбору персонала</t>
  </si>
  <si>
    <t>аутсорсинг компания по подбору персонала</t>
  </si>
  <si>
    <t>услуги подбора персонала на аутсорсинге</t>
  </si>
  <si>
    <t>хорошее агентство по подбору персонала</t>
  </si>
  <si>
    <t>стафф компания по подбору персонала</t>
  </si>
  <si>
    <t>агентство по подбору рабочего персонала</t>
  </si>
  <si>
    <t>деятельность агентств по подбору персонала</t>
  </si>
  <si>
    <t>рекрутинговая компания по подбору персонала</t>
  </si>
  <si>
    <t>бюджетирование затрат на подбор персонала</t>
  </si>
  <si>
    <t>подбор персонала кадров кадровое агентство</t>
  </si>
  <si>
    <t>сколько стоит услуга подбора персонала</t>
  </si>
  <si>
    <t>техническое задание на подбор персонала</t>
  </si>
  <si>
    <t>контакт агентство по подбору персонала</t>
  </si>
  <si>
    <t>лучшие компании по подбору персонала</t>
  </si>
  <si>
    <t>центр подбора персонала транспортного комплекса</t>
  </si>
  <si>
    <t>частные агентства по подбору персонала</t>
  </si>
  <si>
    <t>крупные агентства по подбору персонала</t>
  </si>
  <si>
    <t>подбор отбор и найм персонала</t>
  </si>
  <si>
    <t>предоставление услуг по подбору персонала</t>
  </si>
  <si>
    <t>форма заявки на подбор персонала</t>
  </si>
  <si>
    <t>система поиска и подбора персонала</t>
  </si>
  <si>
    <t>порядок подбора персонала в организации</t>
  </si>
  <si>
    <t>консалтинговое агентство по подбору персонала</t>
  </si>
  <si>
    <t>агентство по массовому подбору персонала</t>
  </si>
  <si>
    <t>подбор кадров и управление персоналом</t>
  </si>
  <si>
    <t>оказываем услуги по подбору персонала</t>
  </si>
  <si>
    <t>агентство по подбору персонала вахта</t>
  </si>
  <si>
    <t>отдел подбора и развития персонала</t>
  </si>
  <si>
    <t>система подбора персонала в организации</t>
  </si>
  <si>
    <t>подбор персонала в транспортную компанию</t>
  </si>
  <si>
    <t>подбор персонала через кадровое агентство</t>
  </si>
  <si>
    <t>точечный и массовый подбор персонала</t>
  </si>
  <si>
    <t>агентство по подбору персонала контакт</t>
  </si>
  <si>
    <t>поиск и подбор персонала тендер</t>
  </si>
  <si>
    <t>подбор и отбор персонала и</t>
  </si>
  <si>
    <t>подбор персонала и отбор персонала</t>
  </si>
  <si>
    <t>подбор персонала и найм персонала</t>
  </si>
  <si>
    <t>агентство по подбору персонала рабочего</t>
  </si>
  <si>
    <t>агентства по подбору массового персонала</t>
  </si>
  <si>
    <t>отбор и подбор найм персонала</t>
  </si>
  <si>
    <t>отбор подбор и найм персонала</t>
  </si>
  <si>
    <t>подбор найм и отбор персонала</t>
  </si>
  <si>
    <t>подбор и найм персонала отбор</t>
  </si>
  <si>
    <t>найм отбор и подбор персонала</t>
  </si>
  <si>
    <t>найм подбор и отбор персонала</t>
  </si>
  <si>
    <t>массовый подбор персонала и точечный</t>
  </si>
  <si>
    <t>точечный подбор персонала и массовый</t>
  </si>
  <si>
    <t>сайты по подбору персонала лучшие</t>
  </si>
  <si>
    <t>тендер на подбор it персонала</t>
  </si>
  <si>
    <t>кадровое агентство по подбору рабочего персонала</t>
  </si>
  <si>
    <t>стоимость подбора персонала в кадровом агентстве</t>
  </si>
  <si>
    <t>услуги кадрового агентства по подбору персонала</t>
  </si>
  <si>
    <t>услуги по поиску и подбору персонала</t>
  </si>
  <si>
    <t>компания по подбору персонала как называется</t>
  </si>
  <si>
    <t>организация по подбору персонала как называется</t>
  </si>
  <si>
    <t>агентство по подбору персонала как называется</t>
  </si>
  <si>
    <t>как заполнять заявку на подбор персонала</t>
  </si>
  <si>
    <t>агентство по подбору персонала как работает</t>
  </si>
  <si>
    <t>агентство по трудоустройству и подбору персонала</t>
  </si>
  <si>
    <t>заявка на подбор персонала на руководителя</t>
  </si>
  <si>
    <t>кадровое агентство по подбору персонала на вахту</t>
  </si>
  <si>
    <t>сколько стоит подбор персонала в кадровых агентствах</t>
  </si>
  <si>
    <t>как работают аутсорсинговые компании по подбору персонала</t>
  </si>
  <si>
    <t>требуются водители спецтехники</t>
  </si>
  <si>
    <t>водитель спецтехники</t>
  </si>
  <si>
    <t>машинист спецтехники</t>
  </si>
  <si>
    <t>водитель оператор спецтехники</t>
  </si>
  <si>
    <t>резюме водителя спецтехники</t>
  </si>
  <si>
    <t>требуются срочно водители вахтой</t>
  </si>
  <si>
    <t>требуются водители категории е вахта</t>
  </si>
  <si>
    <t>требуются водители категории д вахта</t>
  </si>
  <si>
    <t>требуются водители вахтой срочно</t>
  </si>
  <si>
    <t>требуются водители вахтой</t>
  </si>
  <si>
    <t>требуется водитель категории е вахта</t>
  </si>
  <si>
    <t>требуется водитель категории в вахта</t>
  </si>
  <si>
    <t>резюме водитель вахта</t>
  </si>
  <si>
    <t>резюме вахта водитель</t>
  </si>
  <si>
    <t>подбор водителей на вахту</t>
  </si>
  <si>
    <t>водитель категории е вахта</t>
  </si>
  <si>
    <t>водитель категории д вахта</t>
  </si>
  <si>
    <t>водитель катв вахта</t>
  </si>
  <si>
    <t>водитель кат е вахта</t>
  </si>
  <si>
    <t>водитель кат д вахта</t>
  </si>
  <si>
    <t>водитель камаза вахта</t>
  </si>
  <si>
    <t>водитель е категории вахта</t>
  </si>
  <si>
    <t>водитель е кат вахта</t>
  </si>
  <si>
    <t>водитель е вахта</t>
  </si>
  <si>
    <t>водитель д категории вахта</t>
  </si>
  <si>
    <t>водитель д кат вахта</t>
  </si>
  <si>
    <t>водитель д вахта</t>
  </si>
  <si>
    <t>водитель вахтовки категории д вахтой</t>
  </si>
  <si>
    <t>водитель вахтовки вахта</t>
  </si>
  <si>
    <t>водитель вахта требуется</t>
  </si>
  <si>
    <t>водитель вахта с питанием</t>
  </si>
  <si>
    <t>водитель вахта резюме</t>
  </si>
  <si>
    <t>водитель вахта полюс</t>
  </si>
  <si>
    <t>водитель вахта категории е</t>
  </si>
  <si>
    <t>водитель вахта категории д</t>
  </si>
  <si>
    <t>водитель вахта кат е</t>
  </si>
  <si>
    <t>водитель вахта кат д</t>
  </si>
  <si>
    <t>водитель вахта е</t>
  </si>
  <si>
    <t>водитель вахта д</t>
  </si>
  <si>
    <t>водитель вахта арктика</t>
  </si>
  <si>
    <t>водитель вахта</t>
  </si>
  <si>
    <t>водитель в карьере вахта</t>
  </si>
  <si>
    <t>водитель арктика вахта</t>
  </si>
  <si>
    <t>водитель c категории вахта</t>
  </si>
  <si>
    <t>вахта требуется водитель</t>
  </si>
  <si>
    <t>вахта водитель категории е</t>
  </si>
  <si>
    <t>вахта водитель категории д</t>
  </si>
  <si>
    <t>вахта водитель категории в</t>
  </si>
  <si>
    <t>вахта водитель кат е</t>
  </si>
  <si>
    <t>вахта водитель кат д</t>
  </si>
  <si>
    <t>вахта водитель камаза</t>
  </si>
  <si>
    <t>вахта водитель е категории</t>
  </si>
  <si>
    <t>вахта водитель е</t>
  </si>
  <si>
    <t>вахта водитель д</t>
  </si>
  <si>
    <t>вахта водитель вахтовки</t>
  </si>
  <si>
    <t>вахта водитель</t>
  </si>
  <si>
    <t>вахта в карьере водитель</t>
  </si>
  <si>
    <t>вахта арктика водитель</t>
  </si>
  <si>
    <t>арктика водитель вахта</t>
  </si>
  <si>
    <t>арктика вахта водитель</t>
  </si>
  <si>
    <t>водитель на спецтехнику кдм</t>
  </si>
  <si>
    <t>водители спецтехники</t>
  </si>
  <si>
    <t>услуги водителей</t>
  </si>
  <si>
    <t>водители персонал</t>
  </si>
  <si>
    <t>предоставление водителей</t>
  </si>
  <si>
    <t>водители грузового автомобиля</t>
  </si>
  <si>
    <t>аутсорсинг водителей грузовых автомобилей</t>
  </si>
  <si>
    <t>биржа водителей грузовых автомобилей</t>
  </si>
  <si>
    <t>услуги водителя грузового автомобиля</t>
  </si>
  <si>
    <t>водитель грузового автомобиля требуется</t>
  </si>
  <si>
    <t>требуется водитель грузового автомобиля</t>
  </si>
  <si>
    <t>группы водителей грузовых автомобилей</t>
  </si>
  <si>
    <t>командировка водителя грузового автомобиля</t>
  </si>
  <si>
    <t>водитель грузового автомобиля вахта</t>
  </si>
  <si>
    <t>водитель грузового автомобиля камаз</t>
  </si>
  <si>
    <t>самозанятый водитель грузового автомобиля</t>
  </si>
  <si>
    <t>база водителей грузовых автомобилей</t>
  </si>
  <si>
    <t>аутстаффинг водителей грузовых автомобилей</t>
  </si>
  <si>
    <t>нужен водитель на грузовой автомобиль</t>
  </si>
  <si>
    <t>где найти водителей грузовых автомобилей</t>
  </si>
  <si>
    <t>ищу водителя на грузовой автомобиль</t>
  </si>
  <si>
    <t>найти водителя на грузовой автомобиль</t>
  </si>
  <si>
    <t>водитель грузового автомобиля с полуприцепом</t>
  </si>
  <si>
    <t>водитель грузового автомобиля и спецтехники</t>
  </si>
  <si>
    <t>водитель с грузовым автомобилем резюме</t>
  </si>
  <si>
    <t>тарифы для водителей грузовых автомобилей</t>
  </si>
  <si>
    <t>расценки водителей грузовых автомобилей километров</t>
  </si>
  <si>
    <t>резюме водитель с грузовым автомобилем</t>
  </si>
  <si>
    <t>водителя грузового автомобиля с краном манипулятором</t>
  </si>
  <si>
    <t>как найти водителя на грузовой автомобиль</t>
  </si>
  <si>
    <t>водитель грузовой вахта</t>
  </si>
  <si>
    <t>водитель грузовика вахта</t>
  </si>
  <si>
    <t>вахта водитель грузовика</t>
  </si>
  <si>
    <t>вахта водитель карьерного самосвала</t>
  </si>
  <si>
    <t>вахта водитель на самосвал</t>
  </si>
  <si>
    <t>водитель карьерного самосвала вахта</t>
  </si>
  <si>
    <t>водитель категории с на самосвал вахта</t>
  </si>
  <si>
    <t>водитель на самосвал категории с вахта</t>
  </si>
  <si>
    <t>на самосвал водитель вахта</t>
  </si>
  <si>
    <t>требуются водители самосвала вахта</t>
  </si>
  <si>
    <t>водитель миксера вахта</t>
  </si>
  <si>
    <t>водитель погрузчика вахта</t>
  </si>
  <si>
    <t>вахта водитель погрузчика</t>
  </si>
  <si>
    <t>водитель фронтального погрузчика вахта</t>
  </si>
  <si>
    <t>вахта водитель фронтального погрузчика</t>
  </si>
  <si>
    <t>вахта водитель погрузчика фронтального</t>
  </si>
  <si>
    <t>вахта водитель вилочного погрузчика</t>
  </si>
  <si>
    <t>водитель вилочного погрузчика вахта</t>
  </si>
  <si>
    <t>водитель погрузчика вилочного вахта</t>
  </si>
  <si>
    <t>вахта водитель погрузчика вилочного</t>
  </si>
  <si>
    <t>водитель автопогрузчика вахта</t>
  </si>
  <si>
    <t>вахта водитель автопогрузчика</t>
  </si>
  <si>
    <t>водитель мини погрузчика вахта</t>
  </si>
  <si>
    <t>водитель погрузчика ричтрака вахта</t>
  </si>
  <si>
    <t>водитель ричтрака погрузчика вахта</t>
  </si>
  <si>
    <t>требуется водитель погрузчика вахта</t>
  </si>
  <si>
    <t>требуется водитель фронтального погрузчика вахта</t>
  </si>
  <si>
    <t>водитель манипулятора вахта</t>
  </si>
  <si>
    <t>водитель ричтрака вахта</t>
  </si>
  <si>
    <t>вахта манипулятора водитель</t>
  </si>
  <si>
    <t>водитель самосвала вахта</t>
  </si>
  <si>
    <t>вахта север водитель самосвала</t>
  </si>
  <si>
    <t>вахта водитель самосвала</t>
  </si>
  <si>
    <t>водитель самосвала вахта север</t>
  </si>
  <si>
    <t>окз водитель самосвала</t>
  </si>
  <si>
    <t>водитель самосвала окз</t>
  </si>
  <si>
    <t>еткс водитель самосвала</t>
  </si>
  <si>
    <t>водитель самосвала еткс</t>
  </si>
  <si>
    <t>водитель самосвала требуется</t>
  </si>
  <si>
    <t>водитель карьерного самосвала а3</t>
  </si>
  <si>
    <t>ищу водителя на самосвал</t>
  </si>
  <si>
    <t>найти водителя на самосвал</t>
  </si>
  <si>
    <t>требуются водители на самосвал</t>
  </si>
  <si>
    <t>услуги водителя самосвала</t>
  </si>
  <si>
    <t>группа водителей самосвалов</t>
  </si>
  <si>
    <t>водитель самосвала вольво</t>
  </si>
  <si>
    <t>водитель самосвала татра</t>
  </si>
  <si>
    <t>водитель на самосвал камаз</t>
  </si>
  <si>
    <t>водитель самосвала категория а3</t>
  </si>
  <si>
    <t>водитель на камаз самосвал</t>
  </si>
  <si>
    <t>водитель камаз самосвала вахта</t>
  </si>
  <si>
    <t>водитель самосвала камаз вахта</t>
  </si>
  <si>
    <t>водитель карьерного самосвала категории а3</t>
  </si>
  <si>
    <t>водитель категории с на самосвал</t>
  </si>
  <si>
    <t>требуется камаз самосвал с водителем</t>
  </si>
  <si>
    <t>где найти водителя на самосвал</t>
  </si>
  <si>
    <t>водитель на самосвал на север</t>
  </si>
  <si>
    <t>водитель карьерного самосвала а3 вахта</t>
  </si>
  <si>
    <t>водитель на север на самосвал</t>
  </si>
  <si>
    <t>водитель категории с вахта самосвал</t>
  </si>
  <si>
    <t>водитель категории с самосвал вахта</t>
  </si>
  <si>
    <t>водитель самосвала категории а3 карьерного</t>
  </si>
  <si>
    <t>требуется самосвал камаз с водителем</t>
  </si>
  <si>
    <t>требуются водители категории с на самосвал</t>
  </si>
  <si>
    <t>водитель портового тягача</t>
  </si>
  <si>
    <t>механик водитель дежурного тягача</t>
  </si>
  <si>
    <t>водитель дежурного тягача</t>
  </si>
  <si>
    <t>водитель тягача портового</t>
  </si>
  <si>
    <t>водитель механик дежурного тягача</t>
  </si>
  <si>
    <t>требуется водитель на тягач</t>
  </si>
  <si>
    <t>сколько зарабатывает водитель тягача</t>
  </si>
  <si>
    <t>водитель тягача среднего класса</t>
  </si>
  <si>
    <t>услуги тягача с водителем</t>
  </si>
  <si>
    <t>водитель тягача в порт</t>
  </si>
  <si>
    <t>водитель грузового тягача</t>
  </si>
  <si>
    <t>найти водителя на тягач</t>
  </si>
  <si>
    <t>требуется водитель на американский тягач</t>
  </si>
  <si>
    <t>водитель на американский тягач</t>
  </si>
  <si>
    <t>водитель на американский тягач требуется</t>
  </si>
  <si>
    <t>механик водитель гусеничных тягачей и транспортеров</t>
  </si>
  <si>
    <t>механик водитель плавающих гусеничных тягачей и транспортеров</t>
  </si>
  <si>
    <t>вахта водитель топливозаправщика</t>
  </si>
  <si>
    <t>водитель топливозаправщика вахта</t>
  </si>
  <si>
    <t>вахта водитель категории е допог</t>
  </si>
  <si>
    <t>водитель допог вахта прямой работодатель</t>
  </si>
  <si>
    <t>водитель допог вахта</t>
  </si>
  <si>
    <t>вахта водитель допог</t>
  </si>
  <si>
    <t>водитель трала категория прав</t>
  </si>
  <si>
    <t>водитель на трал требуется</t>
  </si>
  <si>
    <t>требуется водитель на трал</t>
  </si>
  <si>
    <t>водитель е трал вахта</t>
  </si>
  <si>
    <t>водитель трала в санкт петербурге</t>
  </si>
  <si>
    <t>водитель трала москва и московская область</t>
  </si>
  <si>
    <t>водитель трала категории е</t>
  </si>
  <si>
    <t>водитель низкорамного трала</t>
  </si>
  <si>
    <t>водитель автомобиля трал</t>
  </si>
  <si>
    <t>водитель на трал вахта</t>
  </si>
  <si>
    <t>водитель категории е трал негабарит</t>
  </si>
  <si>
    <t>водитель трала кат е</t>
  </si>
  <si>
    <t>водитель трала вахта север</t>
  </si>
  <si>
    <t>резюме водитель трала</t>
  </si>
  <si>
    <t>север вахта водитель трала</t>
  </si>
  <si>
    <t>вахта север водитель трала</t>
  </si>
  <si>
    <t>водитель трала резюме</t>
  </si>
  <si>
    <t>сколько платят водителю трала</t>
  </si>
  <si>
    <t>водитель трала север</t>
  </si>
  <si>
    <t>водитель трала север вахта</t>
  </si>
  <si>
    <t>водитель трала вахта</t>
  </si>
  <si>
    <t>водитель вездехода категория е</t>
  </si>
  <si>
    <t>водитель гусеничного вездехода</t>
  </si>
  <si>
    <t>водитель вездехода 6 разряда</t>
  </si>
  <si>
    <t>водитель вездехода какая категория</t>
  </si>
  <si>
    <t>водитель вездехода трэкол</t>
  </si>
  <si>
    <t>водитель вездехода 5 разряда</t>
  </si>
  <si>
    <t>водитель вездехода права</t>
  </si>
  <si>
    <t>водитель вездехода мтлб</t>
  </si>
  <si>
    <t>категория е водитель вездехода</t>
  </si>
  <si>
    <t>водитель вездехода резюме</t>
  </si>
  <si>
    <t>резюме водитель вездехода</t>
  </si>
  <si>
    <t>водитель вездехода категории а3</t>
  </si>
  <si>
    <t>особые отметки водитель вездехода</t>
  </si>
  <si>
    <t>водитель вездехода требуется</t>
  </si>
  <si>
    <t>водитель вездехода разряды</t>
  </si>
  <si>
    <t>водитель вездехода кат а2</t>
  </si>
  <si>
    <t>требуется водитель вездехода</t>
  </si>
  <si>
    <t>водитель вездехода категория прав</t>
  </si>
  <si>
    <t>водитель на вездеход камаз</t>
  </si>
  <si>
    <t>водитель вездехода вахтой</t>
  </si>
  <si>
    <t>водитель на камаз вездеход</t>
  </si>
  <si>
    <t>водитель вездехода газ</t>
  </si>
  <si>
    <t>отметка водитель вездехода</t>
  </si>
  <si>
    <t>водитель вездехода витязь</t>
  </si>
  <si>
    <t>водитель вездехода атс 59</t>
  </si>
  <si>
    <t>срочно требуется водитель вездехода</t>
  </si>
  <si>
    <t>водитель вездехода тм 120</t>
  </si>
  <si>
    <t>водитель вездехода тм 130</t>
  </si>
  <si>
    <t>ищу водителя вездехода</t>
  </si>
  <si>
    <t>получить права водитель вездехода</t>
  </si>
  <si>
    <t>водитель вездехода 6 разряда вахта</t>
  </si>
  <si>
    <t>север водитель вездехода вахта север</t>
  </si>
  <si>
    <t>вахта север водитель вездехода мтлб</t>
  </si>
  <si>
    <t>водитель вездехода мтлб вахта север</t>
  </si>
  <si>
    <t>вахта водитель вездехода 6 разряда</t>
  </si>
  <si>
    <t>водитель вездехода вахта</t>
  </si>
  <si>
    <t>вахта водитель вездехода</t>
  </si>
  <si>
    <t>водитель ломовоза с манипулятором</t>
  </si>
  <si>
    <t>водитель ломовоза категории е</t>
  </si>
  <si>
    <t>водителем ломовоза</t>
  </si>
  <si>
    <t>водитель ломовоза вахта</t>
  </si>
  <si>
    <t>вахта водитель ломовоза</t>
  </si>
  <si>
    <t>водитель на спецтехнику</t>
  </si>
  <si>
    <t>машинист спецтехники вахта</t>
  </si>
  <si>
    <t>машинист спецтехника</t>
  </si>
  <si>
    <t>машинист на спецтехнику</t>
  </si>
  <si>
    <t>машинисты бульдозера</t>
  </si>
  <si>
    <t>машинист бульдозера</t>
  </si>
  <si>
    <t>машинист бульдозера вахта</t>
  </si>
  <si>
    <t>водитель бульдозера</t>
  </si>
  <si>
    <t>вахта бульдозерист</t>
  </si>
  <si>
    <t>бульдозерист вахта</t>
  </si>
  <si>
    <t>машинист бульдозера колесного</t>
  </si>
  <si>
    <t>машинист колесного бульдозера</t>
  </si>
  <si>
    <t>машинист бульдозера машинист экскаватора</t>
  </si>
  <si>
    <t>машинист экскаватора машинист бульдозера</t>
  </si>
  <si>
    <t>бульдозерист экскаваторщик</t>
  </si>
  <si>
    <t>бульдозерист тракторист</t>
  </si>
  <si>
    <t>бульдозерист машинист</t>
  </si>
  <si>
    <t>машинист бульдозера стандарт профессиональный</t>
  </si>
  <si>
    <t>подработка машинистом бульдозера</t>
  </si>
  <si>
    <t>машинист бульдозера вахта север</t>
  </si>
  <si>
    <t>вахта машинист бульдозера север</t>
  </si>
  <si>
    <t>вахта север машинист бульдозера</t>
  </si>
  <si>
    <t>север вахта машинист бульдозера</t>
  </si>
  <si>
    <t>машинист бульдозера север вахта</t>
  </si>
  <si>
    <t>требуется бульдозерист</t>
  </si>
  <si>
    <t>бульдозерист требуется</t>
  </si>
  <si>
    <t>требуется на вахту машинист бульдозера</t>
  </si>
  <si>
    <t>бульдозерист машинист бульдозера</t>
  </si>
  <si>
    <t>вахта север бульдозеристом</t>
  </si>
  <si>
    <t>машинист бульдозера бульдозерист</t>
  </si>
  <si>
    <t>требуется машинист бульдозера</t>
  </si>
  <si>
    <t>машинист бульдозера резюме</t>
  </si>
  <si>
    <t>бульдозерист резюме</t>
  </si>
  <si>
    <t>резюме машинист бульдозера</t>
  </si>
  <si>
    <t>машинист бульдозера требуется</t>
  </si>
  <si>
    <t>машиниста бульдозера</t>
  </si>
  <si>
    <t>машинист бульдозера машинист автогрейдера</t>
  </si>
  <si>
    <t>тракторист машинист бульдозера</t>
  </si>
  <si>
    <t>машинист бульдозера тракторист</t>
  </si>
  <si>
    <t>нужен машинист бульдозера</t>
  </si>
  <si>
    <t>вус тракторист бульдозерист</t>
  </si>
  <si>
    <t>машинист бульдозера 13584</t>
  </si>
  <si>
    <t>машинист тракторист бульдозера</t>
  </si>
  <si>
    <t>13584 машинист бульдозера</t>
  </si>
  <si>
    <t>машинист бульдозера на севере</t>
  </si>
  <si>
    <t>машинист трубоукладчика машинист бульдозера</t>
  </si>
  <si>
    <t>машинист бульдозера машинист трубоукладчика</t>
  </si>
  <si>
    <t>машинист бульдозера срочно</t>
  </si>
  <si>
    <t>свидетельство машиниста бульдозера</t>
  </si>
  <si>
    <t>допуск машиниста бульдозера</t>
  </si>
  <si>
    <t>водитель бульдозера вахта</t>
  </si>
  <si>
    <t>фгос машинист бульдозера</t>
  </si>
  <si>
    <t>машинист бульдозера фгос</t>
  </si>
  <si>
    <t>срочно машинист бульдозера</t>
  </si>
  <si>
    <t>вахта водитель бульдозера</t>
  </si>
  <si>
    <t>вахта бульдозерист экскаваторщик</t>
  </si>
  <si>
    <t>бульдозерист экскаваторщик вахта</t>
  </si>
  <si>
    <t>вахта машинист бульдозера месяц на месяц</t>
  </si>
  <si>
    <t>вахта месяц на месяц машинист бульдозера</t>
  </si>
  <si>
    <t>машинисты трубоукладчика</t>
  </si>
  <si>
    <t>машинист трубоукладчика резюме</t>
  </si>
  <si>
    <t>14277 машинист трубоукладчика</t>
  </si>
  <si>
    <t>требуется машинист трубоукладчика</t>
  </si>
  <si>
    <t>машинист трубоукладчик</t>
  </si>
  <si>
    <t>экзаменационные билеты на машиниста трубоукладчика</t>
  </si>
  <si>
    <t>машинист трубоукладчика прямой работодатель</t>
  </si>
  <si>
    <t>трубоукладчик машинист</t>
  </si>
  <si>
    <t>машинист трубоукладчика требуется</t>
  </si>
  <si>
    <t>машинист крана трубоукладчика</t>
  </si>
  <si>
    <t>резюме машинист трубоукладчика</t>
  </si>
  <si>
    <t>машинист экскаватора</t>
  </si>
  <si>
    <t>машинисты экскаватора</t>
  </si>
  <si>
    <t>водитель экскаватора</t>
  </si>
  <si>
    <t>водитель погрузчика экскаватора</t>
  </si>
  <si>
    <t>водитель экскаватора погрузчика</t>
  </si>
  <si>
    <t>машинист экскаватора или водитель</t>
  </si>
  <si>
    <t>требуется водитель на погрузчик экскаватор</t>
  </si>
  <si>
    <t>водитель погрузчика экскаватора резюме</t>
  </si>
  <si>
    <t>резюме водитель погрузчика экскаватора</t>
  </si>
  <si>
    <t>резюме водитель экскаватора погрузчика</t>
  </si>
  <si>
    <t>водитель экскаватора погрузчика резюме</t>
  </si>
  <si>
    <t>водитель гусеничного экскаватора</t>
  </si>
  <si>
    <t>требуется водитель экскаватора</t>
  </si>
  <si>
    <t>водитель экскаватора требуется</t>
  </si>
  <si>
    <t>машинист экскаватора водитель погрузчика</t>
  </si>
  <si>
    <t>водитель машинист экскаватора погрузчика</t>
  </si>
  <si>
    <t>водитель машинист погрузчика экскаватора</t>
  </si>
  <si>
    <t>машинист водитель экскаватора погрузчика</t>
  </si>
  <si>
    <t>водитель погрузчика машинист экскаватора</t>
  </si>
  <si>
    <t>вахта водитель экскаватора</t>
  </si>
  <si>
    <t>экскаваторщик или водитель экскаватора</t>
  </si>
  <si>
    <t>водитель экскаватора вахта</t>
  </si>
  <si>
    <t>водитель экскаватора или экскаваторщик</t>
  </si>
  <si>
    <t>водитель мини экскаватора</t>
  </si>
  <si>
    <t>разряд водителя экскаватора</t>
  </si>
  <si>
    <t>водитель экскаватора разряды</t>
  </si>
  <si>
    <t>водитель экскаватора разряд</t>
  </si>
  <si>
    <t>мини экскаватор с водителем</t>
  </si>
  <si>
    <t>водитель экскаватора погрузчика требования</t>
  </si>
  <si>
    <t>водитель экскаватора 5 разряда</t>
  </si>
  <si>
    <t>водитель экскаватора на карьер</t>
  </si>
  <si>
    <t>водитель экскаватора погрузчика вахта</t>
  </si>
  <si>
    <t>водитель экскаватора 6 разряда</t>
  </si>
  <si>
    <t>вахта водитель погрузчика экскаватора</t>
  </si>
  <si>
    <t>машинист экскаватора персонал</t>
  </si>
  <si>
    <t>резюме водителя экскаватора</t>
  </si>
  <si>
    <t>водитель фронтального погрузчика экскаватора</t>
  </si>
  <si>
    <t>категория водитель экскаватора</t>
  </si>
  <si>
    <t>водитель экскаватора резюме</t>
  </si>
  <si>
    <t>водитель экскаватора категории в</t>
  </si>
  <si>
    <t>водитель экскаватора категория</t>
  </si>
  <si>
    <t>водитель экскаватора 4 разряда</t>
  </si>
  <si>
    <t>резюме водитель экскаватора</t>
  </si>
  <si>
    <t>оператор водитель экскаватора погрузчика</t>
  </si>
  <si>
    <t>водитель роторного экскаватора</t>
  </si>
  <si>
    <t>оператор или водитель экскаватора</t>
  </si>
  <si>
    <t>водитель экскаватора волгоград</t>
  </si>
  <si>
    <t>категория для водителя экскаватора</t>
  </si>
  <si>
    <t>водитель или оператор экскаватора</t>
  </si>
  <si>
    <t>ищу водителя на экскаватор погрузчик</t>
  </si>
  <si>
    <t>требуется водитель на мини экскаватор</t>
  </si>
  <si>
    <t>машинист автокрана</t>
  </si>
  <si>
    <t>машинист крана автомобильного</t>
  </si>
  <si>
    <t>автокрановщик</t>
  </si>
  <si>
    <t>автокрановщики</t>
  </si>
  <si>
    <t>машинист автомобильного крана</t>
  </si>
  <si>
    <t>водитель автокрана или машинист автокрана</t>
  </si>
  <si>
    <t>машинист автокрана или водитель автокрана</t>
  </si>
  <si>
    <t>машинист автокрана вахта</t>
  </si>
  <si>
    <t>вахта автокрановщик</t>
  </si>
  <si>
    <t>автокрановщик вахта</t>
  </si>
  <si>
    <t>резюме автокрановщик</t>
  </si>
  <si>
    <t>машинист автокрана вахта север</t>
  </si>
  <si>
    <t>машинист автокрана север вахта</t>
  </si>
  <si>
    <t>север вахта машинист автокрана</t>
  </si>
  <si>
    <t>вахта машинист автокрана север</t>
  </si>
  <si>
    <t>вахта север машинист автокрана</t>
  </si>
  <si>
    <t>машинист автокрана резюме</t>
  </si>
  <si>
    <t>резюме машинист автокрана</t>
  </si>
  <si>
    <t>машинист крана автомобильного крана манипулятора</t>
  </si>
  <si>
    <t>13788 машинист крана автомобильного</t>
  </si>
  <si>
    <t>машинист крана автомобильного 13788</t>
  </si>
  <si>
    <t>требуется автокрановщик на север</t>
  </si>
  <si>
    <t>требуется автокрановщик</t>
  </si>
  <si>
    <t>найти машиниста автокрана</t>
  </si>
  <si>
    <t>вахта машинист крана автомобильного</t>
  </si>
  <si>
    <t>машинист крана автомобильного вахта</t>
  </si>
  <si>
    <t>машинист автомобильного крана вахта</t>
  </si>
  <si>
    <t>вахта машинист автомобильного крана</t>
  </si>
  <si>
    <t>услуги автокрановщика</t>
  </si>
  <si>
    <t>автокрановщика услуги</t>
  </si>
  <si>
    <t>машинист крановщик автокрана</t>
  </si>
  <si>
    <t>машинист автокрана крановщик</t>
  </si>
  <si>
    <t>крановщик машинист автокрана</t>
  </si>
  <si>
    <t>машиниста автокрана</t>
  </si>
  <si>
    <t>требуется машинист автокрана вахта</t>
  </si>
  <si>
    <t>автокрановщика</t>
  </si>
  <si>
    <t>требуется машинист автокрана</t>
  </si>
  <si>
    <t>машинист автокрана требуется</t>
  </si>
  <si>
    <t>машинист автокрана машинист манипулятора</t>
  </si>
  <si>
    <t>оператор машинист автомобильных кранов манипуляторов</t>
  </si>
  <si>
    <t>машинист крана и машинист автокрана</t>
  </si>
  <si>
    <t>машинист оператор автомобильных кранов манипуляторов</t>
  </si>
  <si>
    <t>автокрановщик водитель</t>
  </si>
  <si>
    <t>автокрановщика ищу</t>
  </si>
  <si>
    <t>водитель автокрановщик</t>
  </si>
  <si>
    <t>ищу автокрановщика</t>
  </si>
  <si>
    <t>машинист автокрана liebherr</t>
  </si>
  <si>
    <t>liebherr машинист автокрана</t>
  </si>
  <si>
    <t>машинист гидравлического автомобильного крана</t>
  </si>
  <si>
    <t>требуются автокрановщики на север</t>
  </si>
  <si>
    <t>иот для машиниста автокрана</t>
  </si>
  <si>
    <t>требуется водитель машинист автокрана</t>
  </si>
  <si>
    <t>машинист автомобильного гидравлического крана</t>
  </si>
  <si>
    <t>машинист гидравлического крана автомобильного</t>
  </si>
  <si>
    <t>оператор автокрана или машинист</t>
  </si>
  <si>
    <t>иот для машиниста крана автомобильного</t>
  </si>
  <si>
    <t>иот для машиниста автомобильного крана</t>
  </si>
  <si>
    <t>требуются автокрановщики</t>
  </si>
  <si>
    <t>вахта автокрановщик север</t>
  </si>
  <si>
    <t>машинист автокрана кму</t>
  </si>
  <si>
    <t>машинист гусеничного автокрана</t>
  </si>
  <si>
    <t>вахта север автокрановщик</t>
  </si>
  <si>
    <t>автокрановщик вахта север</t>
  </si>
  <si>
    <t>автокрановщик север вахта</t>
  </si>
  <si>
    <t>север вахта автокрановщик</t>
  </si>
  <si>
    <t>машинист автокрана гусеничного</t>
  </si>
  <si>
    <t>крановщик машинист автомобильных кранов</t>
  </si>
  <si>
    <t>машинист крана автомобильного крановщик</t>
  </si>
  <si>
    <t>вахта автокрановщиком на севере</t>
  </si>
  <si>
    <t>машинист крана автомобильного резюме</t>
  </si>
  <si>
    <t>срочно требуется машинист автокрана</t>
  </si>
  <si>
    <t>крановщик машинист автомобильного крана</t>
  </si>
  <si>
    <t>машинист крана крановщик автомобильного</t>
  </si>
  <si>
    <t>машинист крановщик автомобильных кранов</t>
  </si>
  <si>
    <t>машинист крановщик автомобильного крана</t>
  </si>
  <si>
    <t>машинист крановщик крана автомобильного</t>
  </si>
  <si>
    <t>машинист автомобильного крана крановщик</t>
  </si>
  <si>
    <t>оператор машинист крана автомобильного</t>
  </si>
  <si>
    <t>оператор машинист автомобильного крана</t>
  </si>
  <si>
    <t>машинист крана автомобильного требуется</t>
  </si>
  <si>
    <t>вахта на севере автокрановщиком</t>
  </si>
  <si>
    <t>машинист автомобильного крана оксо</t>
  </si>
  <si>
    <t>оксо машинист автомобильного крана</t>
  </si>
  <si>
    <t>оксо машинист крана автомобильного</t>
  </si>
  <si>
    <t>машинист автомобильного крана резюме</t>
  </si>
  <si>
    <t>резюме машинист автомобильного крана</t>
  </si>
  <si>
    <t>резюме машинист крана автомобильного</t>
  </si>
  <si>
    <t>водитель или машинист крана автомобильного</t>
  </si>
  <si>
    <t>машинист крана автомобильного фгос спо</t>
  </si>
  <si>
    <t>Header</t>
  </si>
  <si>
    <t>Description</t>
  </si>
  <si>
    <t>Дата</t>
  </si>
  <si>
    <t>База</t>
  </si>
  <si>
    <t>Базовая частота [Yandex.Wordstat]</t>
  </si>
  <si>
    <t>"!"</t>
  </si>
  <si>
    <t>"!" частота [Yandex.Wordstat]</t>
  </si>
  <si>
    <t>SERP</t>
  </si>
  <si>
    <t>Данные поисковой выдачи [Yandex]</t>
  </si>
  <si>
    <t>машинист автовышки и автогидроподъемника</t>
  </si>
  <si>
    <t>машинист автовышки</t>
  </si>
  <si>
    <t>оператор автовышки</t>
  </si>
  <si>
    <t>машинисты автовышки</t>
  </si>
  <si>
    <t>операторы автовышки</t>
  </si>
  <si>
    <t>вахта водитель автовышки</t>
  </si>
  <si>
    <t>водитель автовышки вахта</t>
  </si>
  <si>
    <t>вахта автовышки водитель</t>
  </si>
  <si>
    <t>водитель оператор автовышки</t>
  </si>
  <si>
    <t>машинист автовышки и агп</t>
  </si>
  <si>
    <t>автовышки оператор</t>
  </si>
  <si>
    <t>13507 машинист автовышки и автогидроподъемника</t>
  </si>
  <si>
    <t>фгос машинист автовышки и автогидроподъемника</t>
  </si>
  <si>
    <t>автовышка машинист</t>
  </si>
  <si>
    <t>машинист водитель автовышки</t>
  </si>
  <si>
    <t>машинист автовышки и гидроподъемника</t>
  </si>
  <si>
    <t>вахта машинист автовышки</t>
  </si>
  <si>
    <t>машинист автовышка</t>
  </si>
  <si>
    <t>водитель машинист автовышки</t>
  </si>
  <si>
    <t>резюме машиниста автовышки</t>
  </si>
  <si>
    <t>машинист автовышки и автогидроподъемника вахта</t>
  </si>
  <si>
    <t>вахта машинист автовышки и автогидроподъемника</t>
  </si>
  <si>
    <t>машинист автогидроподъемника</t>
  </si>
  <si>
    <t>оператор автогидроподъемника</t>
  </si>
  <si>
    <t>машинисты автогидроподъемника</t>
  </si>
  <si>
    <t>операторы автогидроподъемника</t>
  </si>
  <si>
    <t>Водители категории B</t>
  </si>
  <si>
    <t>Дата проверки</t>
  </si>
  <si>
    <t>Регион</t>
  </si>
  <si>
    <t>Источник</t>
  </si>
  <si>
    <t>Интент</t>
  </si>
  <si>
    <t>Решение</t>
  </si>
  <si>
    <t>подбор водителей категории в</t>
  </si>
  <si>
    <t>Весь мир</t>
  </si>
  <si>
    <t>Bukvarix + Яндекс Вордстат</t>
  </si>
  <si>
    <t>Коммерческий B2B</t>
  </si>
  <si>
    <t>Кандидат категории B</t>
  </si>
  <si>
    <t>найти водителя на легковой автомобиль</t>
  </si>
  <si>
    <t>подбор водителей категории B</t>
  </si>
  <si>
    <t>Все регионы</t>
  </si>
  <si>
    <t>Яндекс Вордстат</t>
  </si>
  <si>
    <t>Маска категории B</t>
  </si>
  <si>
    <t>Кандидат; проверить интент и релевантность</t>
  </si>
  <si>
    <t>подбор водителя категории B</t>
  </si>
  <si>
    <t>подбор водителя категории В</t>
  </si>
  <si>
    <t>подбор водителей с категорией B</t>
  </si>
  <si>
    <t>нанять водителя категории B</t>
  </si>
  <si>
    <t>нанять водителя на легковой автомобиль</t>
  </si>
  <si>
    <t>найти водителя на пикап</t>
  </si>
  <si>
    <t>подбор водителя фургона</t>
  </si>
  <si>
    <t>подбор водителей фургонов</t>
  </si>
  <si>
    <t>найти водителя на фургон</t>
  </si>
  <si>
    <t>подбор водителей автомобиля</t>
  </si>
  <si>
    <t>Контрольная общая маска</t>
  </si>
  <si>
    <t>Не относить к B автоматически</t>
  </si>
  <si>
    <t>подбор водителя</t>
  </si>
  <si>
    <t>услуги по подбору водителей</t>
  </si>
  <si>
    <t>Wordstat ТЧ</t>
  </si>
  <si>
    <t>Wordstat БЧ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</si>
</sst>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</font>
    <font>
      <sz val="11"/>
      <color theme="10"/>
      <name val="Calibri"/>
    </font>
    <font>
      <b/>
      <sz val="11"/>
      <color theme="1"/>
      <name val="Calibri"/>
    </font>
    <font>
      <i/>
      <sz val="11"/>
      <color rgb="FF666666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0" fontId="1" fillId="0" borderId="0" xfId="1"/>
    <xf numFmtId="0" fontId="2" fillId="0" borderId="0" xfId="2" applyFont="1"/>
    <xf numFmtId="0" fontId="0" fillId="0" borderId="0" xfId="2" applyFont="1" applyAlignment="1">
      <alignment horizontal="center" vertical="center" wrapText="1"/>
    </xf>
    <xf numFmtId="22" fontId="0" fillId="0" borderId="0" xfId="2" applyNumberFormat="1" applyFont="1"/>
    <xf numFmtId="0" fontId="0" fillId="0" borderId="0" xfId="2" applyFont="1"/>
    <xf numFmtId="0" fontId="0" fillId="0" borderId="0" xfId="2" applyFont="1" applyAlignment="1">
      <alignment vertical="center"/>
    </xf>
    <xf numFmtId="164" fontId="0" fillId="0" borderId="0" xfId="2" applyNumberFormat="1" applyFont="1" applyAlignment="1">
      <alignment vertical="center"/>
    </xf>
    <xf numFmtId="0" fontId="0" fillId="0" borderId="0" xfId="0" applyAlignment="1"/>
    <xf numFmtId="0" fontId="1" fillId="2" borderId="0" xfId="1" applyFill="1"/>
    <xf numFmtId="0" fontId="0" fillId="0" borderId="0" xfId="0"/>
    <xf numFmtId="0" fontId="0" fillId="0" borderId="0" xfId="0" applyAlignment="1">
      <alignment horizontal="center"/>
    </xf>
    <xf numFmtId="0" fontId="3" fillId="0" borderId="0" xfId="2" applyFont="1" applyAlignment="1">
      <alignment vertical="center"/>
    </xf>
    <xf numFmtId="0" fontId="0" fillId="0" borderId="0" xfId="0" applyAlignment="1">
      <alignment vertical="center"/>
    </xf>
    <xf numFmtId="3" fontId="0" fillId="0" borderId="0" xfId="2" applyNumberFormat="1" applyFont="1" applyAlignment="1">
      <alignment horizontal="center" vertical="center"/>
    </xf>
    <xf numFmtId="3" fontId="0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3">
    <cellStyle name="Hyperlink" xfId="1" xr:uid="{00000000-0005-0000-0000-000001000000}"/>
    <cellStyle name="Normal" xfId="2" xr:uid="{00000000-0005-0000-0000-000000000000}"/>
    <cellStyle name="Обычный" xfId="0" builtinId="0"/>
  </cellStyles>
  <dxfs count="34"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family val="2"/>
      </font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151" totalsRowShown="0" headerRowCellStyle="Normal">
  <autoFilter ref="A2:G151" xr:uid="{00000000-0009-0000-0100-000001000000}"/>
  <tableColumns count="7">
    <tableColumn id="1" xr3:uid="{00000000-0010-0000-0000-000001000000}" name="Фраза"/>
    <tableColumn id="2" xr3:uid="{00000000-0010-0000-0000-000002000000}" name="Дата добавления фразы" dataDxfId="33"/>
    <tableColumn id="3" xr3:uid="{00000000-0010-0000-0000-000003000000}" name="База [YW]"/>
    <tableColumn id="4" xr3:uid="{00000000-0010-0000-0000-000004000000}" name="&quot;!&quot; [YW]"/>
    <tableColumn id="5" xr3:uid="{00000000-0010-0000-0000-000005000000}" name="SERP документы [Yandex]"/>
    <tableColumn id="6" xr3:uid="{00000000-0010-0000-0000-000006000000}" name="SERP глав. страницы [Yandex]"/>
    <tableColumn id="7" xr3:uid="{00000000-0010-0000-0000-000007000000}" name="SERP заголовки [Yandex]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G67" totalsRowShown="0" headerRowCellStyle="Normal">
  <autoFilter ref="A2:G67" xr:uid="{00000000-0009-0000-0100-000002000000}"/>
  <tableColumns count="7">
    <tableColumn id="1" xr3:uid="{00000000-0010-0000-0100-000001000000}" name="Фраза"/>
    <tableColumn id="2" xr3:uid="{00000000-0010-0000-0100-000002000000}" name="Дата добавления фразы" dataDxfId="32"/>
    <tableColumn id="3" xr3:uid="{00000000-0010-0000-0100-000003000000}" name="База [YW]"/>
    <tableColumn id="4" xr3:uid="{00000000-0010-0000-0100-000004000000}" name="&quot;!&quot; [YW]"/>
    <tableColumn id="5" xr3:uid="{00000000-0010-0000-0100-000005000000}" name="SERP документы [Yandex]"/>
    <tableColumn id="6" xr3:uid="{00000000-0010-0000-0100-000006000000}" name="SERP глав. страницы [Yandex]"/>
    <tableColumn id="7" xr3:uid="{00000000-0010-0000-0100-000007000000}" name="SERP заголовки [Yandex]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G38" totalsRowShown="0" headerRowCellStyle="Normal">
  <autoFilter ref="A2:G38" xr:uid="{00000000-0009-0000-0100-000003000000}"/>
  <tableColumns count="7">
    <tableColumn id="1" xr3:uid="{00000000-0010-0000-0200-000001000000}" name="Фраза"/>
    <tableColumn id="2" xr3:uid="{00000000-0010-0000-0200-000002000000}" name="Дата добавления фразы" dataDxfId="31"/>
    <tableColumn id="3" xr3:uid="{00000000-0010-0000-0200-000003000000}" name="База [YW]"/>
    <tableColumn id="4" xr3:uid="{00000000-0010-0000-0200-000004000000}" name="&quot;!&quot; [YW]"/>
    <tableColumn id="5" xr3:uid="{00000000-0010-0000-0200-000005000000}" name="SERP документы [Yandex]"/>
    <tableColumn id="6" xr3:uid="{00000000-0010-0000-0200-000006000000}" name="SERP глав. страницы [Yandex]"/>
    <tableColumn id="7" xr3:uid="{00000000-0010-0000-0200-000007000000}" name="SERP заголовки [Yandex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G21" totalsRowShown="0" headerRowCellStyle="Normal">
  <autoFilter ref="A2:G21" xr:uid="{00000000-0009-0000-0100-000004000000}"/>
  <tableColumns count="7">
    <tableColumn id="1" xr3:uid="{00000000-0010-0000-0300-000001000000}" name="Фраза"/>
    <tableColumn id="2" xr3:uid="{00000000-0010-0000-0300-000002000000}" name="Дата добавления фразы" dataDxfId="30"/>
    <tableColumn id="3" xr3:uid="{00000000-0010-0000-0300-000003000000}" name="База [YW]"/>
    <tableColumn id="4" xr3:uid="{00000000-0010-0000-0300-000004000000}" name="&quot;!&quot; [YW]"/>
    <tableColumn id="5" xr3:uid="{00000000-0010-0000-0300-000005000000}" name="SERP документы [Yandex]"/>
    <tableColumn id="6" xr3:uid="{00000000-0010-0000-0300-000006000000}" name="SERP глав. страницы [Yandex]"/>
    <tableColumn id="7" xr3:uid="{00000000-0010-0000-0300-000007000000}" name="SERP заголовки [Yandex]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2:G37" totalsRowShown="0" headerRowCellStyle="Normal">
  <autoFilter ref="A2:G37" xr:uid="{00000000-0009-0000-0100-000005000000}"/>
  <tableColumns count="7">
    <tableColumn id="1" xr3:uid="{00000000-0010-0000-0400-000001000000}" name="Фраза"/>
    <tableColumn id="2" xr3:uid="{00000000-0010-0000-0400-000002000000}" name="Дата добавления фразы" dataDxfId="29"/>
    <tableColumn id="3" xr3:uid="{00000000-0010-0000-0400-000003000000}" name="База [YW]"/>
    <tableColumn id="4" xr3:uid="{00000000-0010-0000-0400-000004000000}" name="&quot;!&quot; [YW]"/>
    <tableColumn id="5" xr3:uid="{00000000-0010-0000-0400-000005000000}" name="SERP документы [Yandex]"/>
    <tableColumn id="6" xr3:uid="{00000000-0010-0000-0400-000006000000}" name="SERP глав. страницы [Yandex]"/>
    <tableColumn id="7" xr3:uid="{00000000-0010-0000-0400-000007000000}" name="SERP заголовки [Yandex]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2:G20" totalsRowShown="0" headerRowCellStyle="Normal">
  <autoFilter ref="A2:G20" xr:uid="{00000000-0009-0000-0100-000006000000}"/>
  <tableColumns count="7">
    <tableColumn id="1" xr3:uid="{00000000-0010-0000-0500-000001000000}" name="Фраза"/>
    <tableColumn id="2" xr3:uid="{00000000-0010-0000-0500-000002000000}" name="Дата добавления фразы" dataDxfId="28"/>
    <tableColumn id="3" xr3:uid="{00000000-0010-0000-0500-000003000000}" name="База [YW]"/>
    <tableColumn id="4" xr3:uid="{00000000-0010-0000-0500-000004000000}" name="&quot;!&quot; [YW]"/>
    <tableColumn id="5" xr3:uid="{00000000-0010-0000-0500-000005000000}" name="SERP документы [Yandex]"/>
    <tableColumn id="6" xr3:uid="{00000000-0010-0000-0500-000006000000}" name="SERP глав. страницы [Yandex]"/>
    <tableColumn id="7" xr3:uid="{00000000-0010-0000-0500-000007000000}" name="SERP заголовки [Yandex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2:G8" totalsRowShown="0" headerRowCellStyle="Normal">
  <autoFilter ref="A2:G8" xr:uid="{00000000-0009-0000-0100-000007000000}"/>
  <tableColumns count="7">
    <tableColumn id="1" xr3:uid="{00000000-0010-0000-0600-000001000000}" name="Фраза"/>
    <tableColumn id="2" xr3:uid="{00000000-0010-0000-0600-000002000000}" name="Дата добавления фразы" dataDxfId="27"/>
    <tableColumn id="3" xr3:uid="{00000000-0010-0000-0600-000003000000}" name="База [YW]"/>
    <tableColumn id="4" xr3:uid="{00000000-0010-0000-0600-000004000000}" name="&quot;!&quot; [YW]"/>
    <tableColumn id="5" xr3:uid="{00000000-0010-0000-0600-000005000000}" name="SERP документы [Yandex]"/>
    <tableColumn id="6" xr3:uid="{00000000-0010-0000-0600-000006000000}" name="SERP глав. страницы [Yandex]"/>
    <tableColumn id="7" xr3:uid="{00000000-0010-0000-0600-000007000000}" name="SERP заголовки [Yandex]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2:G24" totalsRowShown="0" headerRowCellStyle="Normal">
  <autoFilter ref="A2:G24" xr:uid="{00000000-0009-0000-0100-000008000000}"/>
  <tableColumns count="7">
    <tableColumn id="1" xr3:uid="{00000000-0010-0000-0700-000001000000}" name="Фраза"/>
    <tableColumn id="2" xr3:uid="{00000000-0010-0000-0700-000002000000}" name="Дата добавления фразы" dataDxfId="26"/>
    <tableColumn id="3" xr3:uid="{00000000-0010-0000-0700-000003000000}" name="База [YW]"/>
    <tableColumn id="4" xr3:uid="{00000000-0010-0000-0700-000004000000}" name="&quot;!&quot; [YW]"/>
    <tableColumn id="5" xr3:uid="{00000000-0010-0000-0700-000005000000}" name="SERP документы [Yandex]"/>
    <tableColumn id="6" xr3:uid="{00000000-0010-0000-0700-000006000000}" name="SERP глав. страницы [Yandex]"/>
    <tableColumn id="7" xr3:uid="{00000000-0010-0000-0700-000007000000}" name="SERP заголовки [Yandex]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2:G40" totalsRowShown="0" headerRowCellStyle="Normal">
  <autoFilter ref="A2:G40" xr:uid="{00000000-0009-0000-0100-000009000000}"/>
  <tableColumns count="7">
    <tableColumn id="1" xr3:uid="{00000000-0010-0000-0800-000001000000}" name="Фраза"/>
    <tableColumn id="2" xr3:uid="{00000000-0010-0000-0800-000002000000}" name="Дата добавления фразы" dataDxfId="25"/>
    <tableColumn id="3" xr3:uid="{00000000-0010-0000-0800-000003000000}" name="База [YW]"/>
    <tableColumn id="4" xr3:uid="{00000000-0010-0000-0800-000004000000}" name="&quot;!&quot; [YW]"/>
    <tableColumn id="5" xr3:uid="{00000000-0010-0000-0800-000005000000}" name="SERP документы [Yandex]"/>
    <tableColumn id="6" xr3:uid="{00000000-0010-0000-0800-000006000000}" name="SERP глав. страницы [Yandex]"/>
    <tableColumn id="7" xr3:uid="{00000000-0010-0000-0800-000007000000}" name="SERP заголовки [Yandex]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2:G8" totalsRowShown="0" headerRowCellStyle="Normal">
  <autoFilter ref="A2:G8" xr:uid="{00000000-0009-0000-0100-00000A000000}"/>
  <tableColumns count="7">
    <tableColumn id="1" xr3:uid="{00000000-0010-0000-0900-000001000000}" name="Фраза"/>
    <tableColumn id="2" xr3:uid="{00000000-0010-0000-0900-000002000000}" name="Дата добавления фразы" dataDxfId="24"/>
    <tableColumn id="3" xr3:uid="{00000000-0010-0000-0900-000003000000}" name="База [YW]"/>
    <tableColumn id="4" xr3:uid="{00000000-0010-0000-0900-000004000000}" name="&quot;!&quot; [YW]"/>
    <tableColumn id="5" xr3:uid="{00000000-0010-0000-0900-000005000000}" name="SERP документы [Yandex]"/>
    <tableColumn id="6" xr3:uid="{00000000-0010-0000-0900-000006000000}" name="SERP глав. страницы [Yandex]"/>
    <tableColumn id="7" xr3:uid="{00000000-0010-0000-0900-000007000000}" name="SERP заголовки [Yandex]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2:G7" totalsRowShown="0" headerRowCellStyle="Normal">
  <autoFilter ref="A2:G7" xr:uid="{00000000-0009-0000-0100-00000B000000}"/>
  <tableColumns count="7">
    <tableColumn id="1" xr3:uid="{00000000-0010-0000-0A00-000001000000}" name="Фраза"/>
    <tableColumn id="2" xr3:uid="{00000000-0010-0000-0A00-000002000000}" name="Дата добавления фразы" dataDxfId="23"/>
    <tableColumn id="3" xr3:uid="{00000000-0010-0000-0A00-000003000000}" name="База [YW]"/>
    <tableColumn id="4" xr3:uid="{00000000-0010-0000-0A00-000004000000}" name="&quot;!&quot; [YW]"/>
    <tableColumn id="5" xr3:uid="{00000000-0010-0000-0A00-000005000000}" name="SERP документы [Yandex]"/>
    <tableColumn id="6" xr3:uid="{00000000-0010-0000-0A00-000006000000}" name="SERP глав. страницы [Yandex]"/>
    <tableColumn id="7" xr3:uid="{00000000-0010-0000-0A00-000007000000}" name="SERP заголовки [Yandex]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2:G57" totalsRowShown="0" headerRowCellStyle="Normal">
  <autoFilter ref="A2:G57" xr:uid="{00000000-0009-0000-0100-00000C000000}"/>
  <tableColumns count="7">
    <tableColumn id="1" xr3:uid="{00000000-0010-0000-0B00-000001000000}" name="Фраза"/>
    <tableColumn id="2" xr3:uid="{00000000-0010-0000-0B00-000002000000}" name="Дата добавления фразы" dataDxfId="22"/>
    <tableColumn id="3" xr3:uid="{00000000-0010-0000-0B00-000003000000}" name="База [YW]"/>
    <tableColumn id="4" xr3:uid="{00000000-0010-0000-0B00-000004000000}" name="&quot;!&quot; [YW]"/>
    <tableColumn id="5" xr3:uid="{00000000-0010-0000-0B00-000005000000}" name="SERP документы [Yandex]"/>
    <tableColumn id="6" xr3:uid="{00000000-0010-0000-0B00-000006000000}" name="SERP глав. страницы [Yandex]"/>
    <tableColumn id="7" xr3:uid="{00000000-0010-0000-0B00-000007000000}" name="SERP заголовки [Yandex]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2:G14" totalsRowShown="0" headerRowCellStyle="Normal">
  <autoFilter ref="A2:G14" xr:uid="{00000000-0009-0000-0100-00000D000000}"/>
  <tableColumns count="7">
    <tableColumn id="1" xr3:uid="{00000000-0010-0000-0C00-000001000000}" name="Фраза"/>
    <tableColumn id="2" xr3:uid="{00000000-0010-0000-0C00-000002000000}" name="Дата добавления фразы" dataDxfId="21"/>
    <tableColumn id="3" xr3:uid="{00000000-0010-0000-0C00-000003000000}" name="База [YW]"/>
    <tableColumn id="4" xr3:uid="{00000000-0010-0000-0C00-000004000000}" name="&quot;!&quot; [YW]"/>
    <tableColumn id="5" xr3:uid="{00000000-0010-0000-0C00-000005000000}" name="SERP документы [Yandex]"/>
    <tableColumn id="6" xr3:uid="{00000000-0010-0000-0C00-000006000000}" name="SERP глав. страницы [Yandex]"/>
    <tableColumn id="7" xr3:uid="{00000000-0010-0000-0C00-000007000000}" name="SERP заголовки [Yandex]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2:G53" totalsRowShown="0" headerRowCellStyle="Normal">
  <autoFilter ref="A2:G53" xr:uid="{00000000-0009-0000-0100-00000E000000}"/>
  <tableColumns count="7">
    <tableColumn id="1" xr3:uid="{00000000-0010-0000-0D00-000001000000}" name="Фраза"/>
    <tableColumn id="2" xr3:uid="{00000000-0010-0000-0D00-000002000000}" name="Дата добавления фразы" dataDxfId="20"/>
    <tableColumn id="3" xr3:uid="{00000000-0010-0000-0D00-000003000000}" name="База [YW]"/>
    <tableColumn id="4" xr3:uid="{00000000-0010-0000-0D00-000004000000}" name="&quot;!&quot; [YW]"/>
    <tableColumn id="5" xr3:uid="{00000000-0010-0000-0D00-000005000000}" name="SERP документы [Yandex]"/>
    <tableColumn id="6" xr3:uid="{00000000-0010-0000-0D00-000006000000}" name="SERP глав. страницы [Yandex]"/>
    <tableColumn id="7" xr3:uid="{00000000-0010-0000-0D00-000007000000}" name="SERP заголовки [Yandex]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2:G92" totalsRowShown="0" headerRowCellStyle="Normal">
  <autoFilter ref="A2:G92" xr:uid="{00000000-0009-0000-0100-00000F000000}"/>
  <tableColumns count="7">
    <tableColumn id="1" xr3:uid="{00000000-0010-0000-0E00-000001000000}" name="Фраза"/>
    <tableColumn id="2" xr3:uid="{00000000-0010-0000-0E00-000002000000}" name="Дата добавления фразы" dataDxfId="19"/>
    <tableColumn id="3" xr3:uid="{00000000-0010-0000-0E00-000003000000}" name="База [YW]"/>
    <tableColumn id="4" xr3:uid="{00000000-0010-0000-0E00-000004000000}" name="&quot;!&quot; [YW]"/>
    <tableColumn id="5" xr3:uid="{00000000-0010-0000-0E00-000005000000}" name="SERP документы [Yandex]"/>
    <tableColumn id="6" xr3:uid="{00000000-0010-0000-0E00-000006000000}" name="SERP глав. страницы [Yandex]"/>
    <tableColumn id="7" xr3:uid="{00000000-0010-0000-0E00-000007000000}" name="SERP заголовки [Yandex]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Table16" displayName="Table16" ref="A2:G29" totalsRowCount="1">
  <tableColumns count="7">
    <tableColumn id="1" xr3:uid="{00000000-0010-0000-0F00-000001000000}" name="Фраза"/>
    <tableColumn id="2" xr3:uid="{00000000-0010-0000-0F00-000002000000}" name="Дата добавления фразы"/>
    <tableColumn id="3" xr3:uid="{00000000-0010-0000-0F00-000003000000}" name="База [YW]"/>
    <tableColumn id="4" xr3:uid="{00000000-0010-0000-0F00-000004000000}" name="&quot;!&quot; [YW]" totalsRowFunction="sum"/>
    <tableColumn id="5" xr3:uid="{00000000-0010-0000-0F00-000005000000}" name="SERP документы [Yandex]"/>
    <tableColumn id="6" xr3:uid="{00000000-0010-0000-0F00-000006000000}" name="SERP глав. страницы [Yandex]"/>
    <tableColumn id="7" xr3:uid="{00000000-0010-0000-0F00-000007000000}" name="SERP заголовки [Yandex]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able18" displayName="Table18" ref="A1:B8" totalsRowShown="0" headerRowCellStyle="Normal">
  <autoFilter ref="A1:B8" xr:uid="{00000000-0009-0000-0100-000012000000}"/>
  <tableColumns count="2">
    <tableColumn id="1" xr3:uid="{00000000-0010-0000-1000-000001000000}" name="Header" dataDxfId="18"/>
    <tableColumn id="2" xr3:uid="{00000000-0010-0000-1000-000002000000}" name="Descrip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CategoryBKeywords" displayName="CategoryBKeywords" ref="A2:H18" totalsRowCount="1" headerRowDxfId="0" dataDxfId="17">
  <sortState xmlns:xlrd2="http://schemas.microsoft.com/office/spreadsheetml/2017/richdata2" ref="A3:H17">
    <sortCondition descending="1" ref="C2:C17"/>
  </sortState>
  <tableColumns count="8">
    <tableColumn id="1" xr3:uid="{00000000-0010-0000-1100-000001000000}" name="Фраза" dataDxfId="16" totalsRowDxfId="8"/>
    <tableColumn id="2" xr3:uid="{00000000-0010-0000-1100-000002000000}" name="Дата проверки" dataDxfId="15" totalsRowDxfId="7"/>
    <tableColumn id="11" xr3:uid="{00000000-0010-0000-1100-00000B000000}" name="Wordstat БЧ" totalsRowFunction="sum" dataDxfId="14" totalsRowDxfId="6" dataCellStyle="Normal" totalsRowCellStyle="Normal"/>
    <tableColumn id="12" xr3:uid="{00000000-0010-0000-1100-00000C000000}" name="Wordstat ТЧ" totalsRowFunction="sum" dataDxfId="13" totalsRowDxfId="5" dataCellStyle="Normal" totalsRowCellStyle="Normal"/>
    <tableColumn id="5" xr3:uid="{00000000-0010-0000-1100-000005000000}" name="Регион" dataDxfId="12" totalsRowDxfId="4"/>
    <tableColumn id="7" xr3:uid="{00000000-0010-0000-1100-000007000000}" name="Источник" dataDxfId="11" totalsRowDxfId="3"/>
    <tableColumn id="8" xr3:uid="{00000000-0010-0000-1100-000008000000}" name="Интент" dataDxfId="10" totalsRowDxfId="2"/>
    <tableColumn id="9" xr3:uid="{00000000-0010-0000-1100-000009000000}" name="Решение" dataDxfId="9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opLeftCell="B1" workbookViewId="0"/>
  </sheetViews>
  <sheetFormatPr defaultColWidth="9.06640625" defaultRowHeight="14.25" x14ac:dyDescent="0.45"/>
  <cols>
    <col min="1" max="1" width="9.06640625" hidden="1"/>
  </cols>
  <sheetData>
    <row r="1" spans="1:21" x14ac:dyDescent="0.45">
      <c r="A1">
        <v>1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45">
      <c r="A2">
        <v>5</v>
      </c>
      <c r="C2" s="9" t="s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45">
      <c r="A3">
        <v>11</v>
      </c>
      <c r="D3" s="9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x14ac:dyDescent="0.45">
      <c r="A4">
        <v>43</v>
      </c>
      <c r="D4" s="9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x14ac:dyDescent="0.45">
      <c r="A5">
        <v>13</v>
      </c>
      <c r="D5" s="9" t="s">
        <v>4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45">
      <c r="A6">
        <v>15</v>
      </c>
      <c r="D6" s="9" t="s">
        <v>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45">
      <c r="A7">
        <v>45</v>
      </c>
      <c r="D7" s="9" t="s">
        <v>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45">
      <c r="A8">
        <v>17</v>
      </c>
      <c r="D8" s="9" t="s">
        <v>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45">
      <c r="A9">
        <v>49</v>
      </c>
      <c r="D9" s="9" t="s">
        <v>8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45">
      <c r="A10">
        <v>47</v>
      </c>
      <c r="D10" s="9" t="s">
        <v>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45">
      <c r="A11">
        <v>39</v>
      </c>
      <c r="C11" s="9" t="s">
        <v>10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45">
      <c r="A12">
        <v>19</v>
      </c>
      <c r="D12" s="9" t="s">
        <v>11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45">
      <c r="A13">
        <v>21</v>
      </c>
      <c r="D13" s="9" t="s">
        <v>12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45">
      <c r="A14">
        <v>23</v>
      </c>
      <c r="D14" s="9" t="s">
        <v>13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45">
      <c r="A15">
        <v>25</v>
      </c>
      <c r="D15" s="9" t="s">
        <v>14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45">
      <c r="A16">
        <v>27</v>
      </c>
      <c r="D16" s="9" t="s">
        <v>631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4:21" x14ac:dyDescent="0.45"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</sheetData>
  <mergeCells count="17">
    <mergeCell ref="B1:U1"/>
    <mergeCell ref="C2:U2"/>
    <mergeCell ref="D3:U3"/>
    <mergeCell ref="D4:U4"/>
    <mergeCell ref="D5:U5"/>
    <mergeCell ref="D6:U6"/>
    <mergeCell ref="D7:U7"/>
    <mergeCell ref="D8:U8"/>
    <mergeCell ref="D9:U9"/>
    <mergeCell ref="D10:U10"/>
    <mergeCell ref="D16:U16"/>
    <mergeCell ref="D17:U17"/>
    <mergeCell ref="C11:U11"/>
    <mergeCell ref="D12:U12"/>
    <mergeCell ref="D13:U13"/>
    <mergeCell ref="D14:U14"/>
    <mergeCell ref="D15:U15"/>
  </mergeCells>
  <hyperlinks>
    <hyperlink ref="B1" location="'Подбор персонала  Главная'!A2" display="Подбор персонала / Главная" xr:uid="{00000000-0004-0000-0000-000000000000}"/>
    <hyperlink ref="C2" location="'водитель спецтехника'!A2" display="водитель спецтехника" xr:uid="{00000000-0004-0000-0000-000001000000}"/>
    <hyperlink ref="D3" location="'водитель грузового автомобиля'!A2" display="водитель грузового автомобиля" xr:uid="{00000000-0004-0000-0000-000002000000}"/>
    <hyperlink ref="D4" location="'водитель погрузчика'!A2" display="водитель погрузчика" xr:uid="{00000000-0004-0000-0000-000003000000}"/>
    <hyperlink ref="D5" location="'водитель самосвала'!A2" display="водитель самосвала" xr:uid="{00000000-0004-0000-0000-000004000000}"/>
    <hyperlink ref="D6" location="'водитель тягача'!A2" display="водитель тягача" xr:uid="{00000000-0004-0000-0000-000005000000}"/>
    <hyperlink ref="D7" location="Топливозаправщик!A2" display="Топливозаправщик" xr:uid="{00000000-0004-0000-0000-000006000000}"/>
    <hyperlink ref="D8" location="'водитель трала'!A2" display="водитель трала" xr:uid="{00000000-0004-0000-0000-000007000000}"/>
    <hyperlink ref="D9" location="'водитель вездехода'!A2" display="водитель вездехода" xr:uid="{00000000-0004-0000-0000-000008000000}"/>
    <hyperlink ref="D10" location="'водитель ломовоза'!A2" display="водитель ломовоза" xr:uid="{00000000-0004-0000-0000-000009000000}"/>
    <hyperlink ref="C11" location="'машинисты спецтехники'!A2" display="машинисты спецтехники" xr:uid="{00000000-0004-0000-0000-00000A000000}"/>
    <hyperlink ref="D12" location="бульдозеристы!A2" display="бульдозеристы" xr:uid="{00000000-0004-0000-0000-00000B000000}"/>
    <hyperlink ref="D13" location="'машинист трубоукладчика'!A2" display="машинист трубоукладчика" xr:uid="{00000000-0004-0000-0000-00000C000000}"/>
    <hyperlink ref="D14" location="экскаваторщик!A2" display="экскаваторщик" xr:uid="{00000000-0004-0000-0000-00000D000000}"/>
    <hyperlink ref="D15" location="'машинисты автокрана'!A2" display="машинисты автокрана" xr:uid="{00000000-0004-0000-0000-00000E000000}"/>
    <hyperlink ref="D16" location="'машинист автовышки'!A2" display="машинист автовышки и автогидроподъемника" xr:uid="{00000000-0004-0000-0000-00000F000000}"/>
    <hyperlink ref="D17" location="'машинист автогидроподъемника'!A2" display="'машинист автогидроподъемника'!A2" xr:uid="{00000000-0004-0000-00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/>
  </sheetViews>
  <sheetFormatPr defaultColWidth="9.06640625" defaultRowHeight="14.25" x14ac:dyDescent="0.45"/>
  <cols>
    <col min="1" max="1" width="57.13281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23</v>
      </c>
      <c r="B3" s="4">
        <v>46210.464454016197</v>
      </c>
      <c r="C3">
        <v>70309</v>
      </c>
      <c r="D3">
        <v>1227</v>
      </c>
      <c r="E3">
        <v>988000</v>
      </c>
      <c r="F3">
        <v>0</v>
      </c>
      <c r="G3">
        <v>8</v>
      </c>
    </row>
    <row r="4" spans="1:7" x14ac:dyDescent="0.45">
      <c r="A4" t="s">
        <v>24</v>
      </c>
      <c r="B4" s="4">
        <v>46210.464454016197</v>
      </c>
      <c r="C4">
        <v>154</v>
      </c>
      <c r="D4">
        <v>65</v>
      </c>
      <c r="E4">
        <v>1000000</v>
      </c>
      <c r="F4">
        <v>4</v>
      </c>
      <c r="G4">
        <v>1</v>
      </c>
    </row>
    <row r="5" spans="1:7" x14ac:dyDescent="0.45">
      <c r="A5" t="s">
        <v>25</v>
      </c>
      <c r="B5" s="4">
        <v>46210.464454016197</v>
      </c>
      <c r="C5">
        <v>219</v>
      </c>
      <c r="D5">
        <v>79</v>
      </c>
      <c r="E5">
        <v>313000</v>
      </c>
      <c r="F5">
        <v>1</v>
      </c>
      <c r="G5">
        <v>1</v>
      </c>
    </row>
    <row r="6" spans="1:7" x14ac:dyDescent="0.45">
      <c r="A6" t="s">
        <v>26</v>
      </c>
      <c r="B6" s="4">
        <v>46210.464454027802</v>
      </c>
      <c r="C6">
        <v>323</v>
      </c>
      <c r="D6">
        <v>42</v>
      </c>
      <c r="E6">
        <v>963000</v>
      </c>
      <c r="F6">
        <v>4</v>
      </c>
      <c r="G6">
        <v>5</v>
      </c>
    </row>
    <row r="7" spans="1:7" x14ac:dyDescent="0.45">
      <c r="A7" t="s">
        <v>27</v>
      </c>
      <c r="B7" s="4">
        <v>46210.464454027802</v>
      </c>
      <c r="C7">
        <v>158</v>
      </c>
      <c r="D7">
        <v>62</v>
      </c>
      <c r="E7">
        <v>1000000</v>
      </c>
      <c r="F7">
        <v>1</v>
      </c>
      <c r="G7">
        <v>5</v>
      </c>
    </row>
    <row r="8" spans="1:7" x14ac:dyDescent="0.45">
      <c r="A8" t="s">
        <v>28</v>
      </c>
      <c r="B8" s="4">
        <v>46210.464454027802</v>
      </c>
      <c r="C8">
        <v>2200</v>
      </c>
      <c r="D8">
        <v>56</v>
      </c>
      <c r="E8">
        <v>1000000</v>
      </c>
      <c r="F8">
        <v>4</v>
      </c>
      <c r="G8">
        <v>1</v>
      </c>
    </row>
    <row r="9" spans="1:7" x14ac:dyDescent="0.45">
      <c r="A9" t="s">
        <v>29</v>
      </c>
      <c r="B9" s="4">
        <v>46210.464454027802</v>
      </c>
      <c r="C9">
        <v>2200</v>
      </c>
      <c r="D9">
        <v>56</v>
      </c>
      <c r="E9">
        <v>1000000</v>
      </c>
      <c r="F9">
        <v>5</v>
      </c>
      <c r="G9">
        <v>1</v>
      </c>
    </row>
    <row r="10" spans="1:7" x14ac:dyDescent="0.45">
      <c r="A10" t="s">
        <v>30</v>
      </c>
      <c r="B10" s="4">
        <v>46210.464454039298</v>
      </c>
      <c r="C10">
        <v>2140</v>
      </c>
      <c r="D10">
        <v>28</v>
      </c>
      <c r="E10">
        <v>1000000</v>
      </c>
      <c r="F10">
        <v>3</v>
      </c>
      <c r="G10">
        <v>5</v>
      </c>
    </row>
    <row r="11" spans="1:7" x14ac:dyDescent="0.45">
      <c r="A11" t="s">
        <v>31</v>
      </c>
      <c r="B11" s="4">
        <v>46210.464454039298</v>
      </c>
      <c r="C11">
        <v>495</v>
      </c>
      <c r="D11">
        <v>28</v>
      </c>
      <c r="E11">
        <v>2000000</v>
      </c>
      <c r="F11">
        <v>5</v>
      </c>
      <c r="G11">
        <v>0</v>
      </c>
    </row>
    <row r="12" spans="1:7" x14ac:dyDescent="0.45">
      <c r="A12" t="s">
        <v>32</v>
      </c>
      <c r="B12" s="4">
        <v>46210.464454039298</v>
      </c>
      <c r="C12">
        <v>185</v>
      </c>
      <c r="D12">
        <v>27</v>
      </c>
      <c r="E12">
        <v>1000000</v>
      </c>
      <c r="F12">
        <v>0</v>
      </c>
      <c r="G12">
        <v>5</v>
      </c>
    </row>
    <row r="13" spans="1:7" x14ac:dyDescent="0.45">
      <c r="A13" t="s">
        <v>33</v>
      </c>
      <c r="B13" s="4">
        <v>46210.464454062501</v>
      </c>
      <c r="C13">
        <v>438</v>
      </c>
      <c r="D13">
        <v>21</v>
      </c>
      <c r="E13">
        <v>9000000</v>
      </c>
      <c r="F13">
        <v>0</v>
      </c>
      <c r="G13">
        <v>6</v>
      </c>
    </row>
    <row r="14" spans="1:7" x14ac:dyDescent="0.45">
      <c r="A14" t="s">
        <v>34</v>
      </c>
      <c r="B14" s="4">
        <v>46210.464454062501</v>
      </c>
      <c r="C14">
        <v>684</v>
      </c>
      <c r="D14">
        <v>24</v>
      </c>
      <c r="E14">
        <v>1000000</v>
      </c>
      <c r="F14">
        <v>0</v>
      </c>
      <c r="G14">
        <v>6</v>
      </c>
    </row>
    <row r="15" spans="1:7" x14ac:dyDescent="0.45">
      <c r="A15" t="s">
        <v>35</v>
      </c>
      <c r="B15" s="4">
        <v>46210.4644540972</v>
      </c>
      <c r="C15">
        <v>437</v>
      </c>
      <c r="D15">
        <v>20</v>
      </c>
      <c r="E15">
        <v>405000</v>
      </c>
      <c r="F15">
        <v>0</v>
      </c>
      <c r="G15">
        <v>1</v>
      </c>
    </row>
    <row r="16" spans="1:7" x14ac:dyDescent="0.45">
      <c r="A16" t="s">
        <v>36</v>
      </c>
      <c r="B16" s="4">
        <v>46210.464454108798</v>
      </c>
      <c r="C16">
        <v>26</v>
      </c>
      <c r="D16">
        <v>16</v>
      </c>
      <c r="E16">
        <v>1000000</v>
      </c>
      <c r="F16">
        <v>5</v>
      </c>
      <c r="G16">
        <v>0</v>
      </c>
    </row>
    <row r="17" spans="1:7" x14ac:dyDescent="0.45">
      <c r="A17" t="s">
        <v>37</v>
      </c>
      <c r="B17" s="4">
        <v>46210.464454108798</v>
      </c>
      <c r="C17">
        <v>136</v>
      </c>
      <c r="D17">
        <v>16</v>
      </c>
      <c r="E17">
        <v>400000</v>
      </c>
      <c r="F17">
        <v>0</v>
      </c>
      <c r="G17">
        <v>8</v>
      </c>
    </row>
    <row r="18" spans="1:7" x14ac:dyDescent="0.45">
      <c r="A18" t="s">
        <v>38</v>
      </c>
      <c r="B18" s="4">
        <v>46210.464454120403</v>
      </c>
      <c r="C18">
        <v>712</v>
      </c>
      <c r="D18">
        <v>13</v>
      </c>
      <c r="E18">
        <v>1000000</v>
      </c>
      <c r="F18">
        <v>2</v>
      </c>
      <c r="G18">
        <v>0</v>
      </c>
    </row>
    <row r="19" spans="1:7" x14ac:dyDescent="0.45">
      <c r="A19" t="s">
        <v>39</v>
      </c>
      <c r="B19" s="4">
        <v>46210.464454131899</v>
      </c>
      <c r="C19">
        <v>459</v>
      </c>
      <c r="D19">
        <v>13</v>
      </c>
      <c r="E19">
        <v>1000000</v>
      </c>
      <c r="F19">
        <v>1</v>
      </c>
      <c r="G19">
        <v>1</v>
      </c>
    </row>
    <row r="20" spans="1:7" x14ac:dyDescent="0.45">
      <c r="A20" t="s">
        <v>40</v>
      </c>
      <c r="B20" s="4">
        <v>46210.464454131899</v>
      </c>
      <c r="C20">
        <v>3987</v>
      </c>
      <c r="D20">
        <v>9</v>
      </c>
      <c r="E20">
        <v>1000000</v>
      </c>
      <c r="F20">
        <v>1</v>
      </c>
      <c r="G20">
        <v>0</v>
      </c>
    </row>
    <row r="21" spans="1:7" x14ac:dyDescent="0.45">
      <c r="A21" t="s">
        <v>41</v>
      </c>
      <c r="B21" s="4">
        <v>46210.464454143497</v>
      </c>
      <c r="C21">
        <v>68</v>
      </c>
      <c r="D21">
        <v>11</v>
      </c>
      <c r="E21">
        <v>1000000</v>
      </c>
      <c r="F21">
        <v>0</v>
      </c>
      <c r="G21">
        <v>2</v>
      </c>
    </row>
    <row r="22" spans="1:7" x14ac:dyDescent="0.45">
      <c r="A22" t="s">
        <v>42</v>
      </c>
      <c r="B22" s="4">
        <v>46210.4644541667</v>
      </c>
      <c r="C22">
        <v>294</v>
      </c>
      <c r="D22">
        <v>6</v>
      </c>
      <c r="E22">
        <v>2000000</v>
      </c>
      <c r="F22">
        <v>1</v>
      </c>
      <c r="G22">
        <v>0</v>
      </c>
    </row>
    <row r="23" spans="1:7" x14ac:dyDescent="0.45">
      <c r="A23" t="s">
        <v>43</v>
      </c>
      <c r="B23" s="4">
        <v>46210.4644541667</v>
      </c>
      <c r="C23">
        <v>72</v>
      </c>
      <c r="D23">
        <v>7</v>
      </c>
      <c r="E23">
        <v>994000</v>
      </c>
      <c r="F23">
        <v>0</v>
      </c>
      <c r="G23">
        <v>1</v>
      </c>
    </row>
    <row r="24" spans="1:7" x14ac:dyDescent="0.45">
      <c r="A24" t="s">
        <v>44</v>
      </c>
      <c r="B24" s="4">
        <v>46210.4644541667</v>
      </c>
      <c r="C24">
        <v>117</v>
      </c>
      <c r="D24">
        <v>6</v>
      </c>
      <c r="E24">
        <v>1000000</v>
      </c>
      <c r="F24">
        <v>0</v>
      </c>
      <c r="G24">
        <v>2</v>
      </c>
    </row>
    <row r="25" spans="1:7" x14ac:dyDescent="0.45">
      <c r="A25" t="s">
        <v>45</v>
      </c>
      <c r="B25" s="4">
        <v>46210.464454178204</v>
      </c>
      <c r="C25">
        <v>311</v>
      </c>
      <c r="D25">
        <v>5</v>
      </c>
      <c r="E25">
        <v>410000</v>
      </c>
      <c r="F25">
        <v>0</v>
      </c>
      <c r="G25">
        <v>5</v>
      </c>
    </row>
    <row r="26" spans="1:7" x14ac:dyDescent="0.45">
      <c r="A26" t="s">
        <v>46</v>
      </c>
      <c r="B26" s="4">
        <v>46210.464454178204</v>
      </c>
      <c r="C26">
        <v>97</v>
      </c>
      <c r="D26">
        <v>6</v>
      </c>
      <c r="E26">
        <v>434000</v>
      </c>
      <c r="F26">
        <v>0</v>
      </c>
      <c r="G26">
        <v>1</v>
      </c>
    </row>
    <row r="27" spans="1:7" x14ac:dyDescent="0.45">
      <c r="A27" t="s">
        <v>47</v>
      </c>
      <c r="B27" s="4">
        <v>46210.464454224501</v>
      </c>
      <c r="C27">
        <v>160</v>
      </c>
      <c r="D27">
        <v>4</v>
      </c>
      <c r="E27">
        <v>664000</v>
      </c>
      <c r="F27">
        <v>0</v>
      </c>
      <c r="G27">
        <v>5</v>
      </c>
    </row>
    <row r="28" spans="1:7" x14ac:dyDescent="0.45">
      <c r="A28" t="s">
        <v>48</v>
      </c>
      <c r="B28" s="4">
        <v>46210.464454224501</v>
      </c>
      <c r="C28">
        <v>429</v>
      </c>
      <c r="D28">
        <v>4</v>
      </c>
      <c r="E28">
        <v>2000000</v>
      </c>
      <c r="F28">
        <v>1</v>
      </c>
      <c r="G28">
        <v>0</v>
      </c>
    </row>
    <row r="29" spans="1:7" x14ac:dyDescent="0.45">
      <c r="A29" t="s">
        <v>49</v>
      </c>
      <c r="B29" s="4">
        <v>46210.464454224501</v>
      </c>
      <c r="C29">
        <v>1042</v>
      </c>
      <c r="D29">
        <v>3</v>
      </c>
      <c r="E29">
        <v>11000000</v>
      </c>
      <c r="F29">
        <v>0</v>
      </c>
      <c r="G29">
        <v>1</v>
      </c>
    </row>
    <row r="30" spans="1:7" x14ac:dyDescent="0.45">
      <c r="A30" t="s">
        <v>50</v>
      </c>
      <c r="B30" s="4">
        <v>46210.464454236098</v>
      </c>
      <c r="C30">
        <v>26</v>
      </c>
      <c r="D30">
        <v>4</v>
      </c>
      <c r="E30">
        <v>467000</v>
      </c>
      <c r="F30">
        <v>4</v>
      </c>
      <c r="G30">
        <v>1</v>
      </c>
    </row>
    <row r="31" spans="1:7" x14ac:dyDescent="0.45">
      <c r="A31" t="s">
        <v>51</v>
      </c>
      <c r="B31" s="4">
        <v>46210.464454270797</v>
      </c>
      <c r="C31">
        <v>29</v>
      </c>
      <c r="D31">
        <v>3</v>
      </c>
      <c r="E31">
        <v>1000000</v>
      </c>
      <c r="F31">
        <v>4</v>
      </c>
      <c r="G31">
        <v>4</v>
      </c>
    </row>
    <row r="32" spans="1:7" x14ac:dyDescent="0.45">
      <c r="A32" t="s">
        <v>52</v>
      </c>
      <c r="B32" s="4">
        <v>46210.464454270797</v>
      </c>
      <c r="C32">
        <v>29</v>
      </c>
      <c r="D32">
        <v>3</v>
      </c>
      <c r="E32">
        <v>1000000</v>
      </c>
      <c r="F32">
        <v>1</v>
      </c>
      <c r="G32">
        <v>7</v>
      </c>
    </row>
    <row r="33" spans="1:7" x14ac:dyDescent="0.45">
      <c r="A33" t="s">
        <v>53</v>
      </c>
      <c r="B33" s="4">
        <v>46210.464454270797</v>
      </c>
      <c r="C33">
        <v>27</v>
      </c>
      <c r="D33">
        <v>3</v>
      </c>
      <c r="E33">
        <v>963000</v>
      </c>
      <c r="F33">
        <v>7</v>
      </c>
      <c r="G33">
        <v>1</v>
      </c>
    </row>
    <row r="34" spans="1:7" x14ac:dyDescent="0.45">
      <c r="A34" t="s">
        <v>54</v>
      </c>
      <c r="B34" s="4">
        <v>46210.464454340297</v>
      </c>
      <c r="C34">
        <v>1042</v>
      </c>
      <c r="D34">
        <v>3</v>
      </c>
      <c r="E34">
        <v>1000000</v>
      </c>
      <c r="F34">
        <v>0</v>
      </c>
      <c r="G34">
        <v>1</v>
      </c>
    </row>
    <row r="35" spans="1:7" x14ac:dyDescent="0.45">
      <c r="A35" t="s">
        <v>55</v>
      </c>
      <c r="B35" s="4">
        <v>46210.464454340297</v>
      </c>
      <c r="C35">
        <v>684</v>
      </c>
      <c r="D35">
        <v>24</v>
      </c>
      <c r="E35">
        <v>1000000</v>
      </c>
      <c r="F35">
        <v>0</v>
      </c>
      <c r="G35">
        <v>6</v>
      </c>
    </row>
    <row r="36" spans="1:7" x14ac:dyDescent="0.45">
      <c r="A36" t="s">
        <v>56</v>
      </c>
      <c r="B36" s="4">
        <v>46210.464454351903</v>
      </c>
      <c r="C36">
        <v>438</v>
      </c>
      <c r="D36">
        <v>21</v>
      </c>
      <c r="E36">
        <v>1000000</v>
      </c>
      <c r="F36">
        <v>0</v>
      </c>
      <c r="G36">
        <v>7</v>
      </c>
    </row>
    <row r="37" spans="1:7" x14ac:dyDescent="0.45">
      <c r="A37" t="s">
        <v>57</v>
      </c>
      <c r="B37" s="4">
        <v>46210.464454351903</v>
      </c>
      <c r="C37">
        <v>311</v>
      </c>
      <c r="D37">
        <v>5</v>
      </c>
      <c r="E37">
        <v>398000</v>
      </c>
      <c r="F37">
        <v>0</v>
      </c>
      <c r="G37">
        <v>5</v>
      </c>
    </row>
    <row r="38" spans="1:7" x14ac:dyDescent="0.45">
      <c r="A38" t="s">
        <v>58</v>
      </c>
      <c r="B38" s="4">
        <v>46210.464454363399</v>
      </c>
      <c r="C38">
        <v>162</v>
      </c>
      <c r="D38">
        <v>7</v>
      </c>
      <c r="E38">
        <v>959000</v>
      </c>
      <c r="F38">
        <v>0</v>
      </c>
      <c r="G38">
        <v>1</v>
      </c>
    </row>
    <row r="39" spans="1:7" x14ac:dyDescent="0.45">
      <c r="A39" t="s">
        <v>59</v>
      </c>
      <c r="B39" s="4">
        <v>46210.464454363399</v>
      </c>
      <c r="C39">
        <v>160</v>
      </c>
      <c r="D39">
        <v>4</v>
      </c>
      <c r="E39">
        <v>1000000</v>
      </c>
      <c r="F39">
        <v>0</v>
      </c>
      <c r="G39">
        <v>7</v>
      </c>
    </row>
    <row r="40" spans="1:7" x14ac:dyDescent="0.45">
      <c r="A40" t="s">
        <v>60</v>
      </c>
      <c r="B40" s="4">
        <v>46210.464454374996</v>
      </c>
      <c r="C40">
        <v>117</v>
      </c>
      <c r="D40">
        <v>6</v>
      </c>
      <c r="E40">
        <v>1000000</v>
      </c>
      <c r="F40">
        <v>0</v>
      </c>
      <c r="G40">
        <v>3</v>
      </c>
    </row>
    <row r="41" spans="1:7" x14ac:dyDescent="0.45">
      <c r="A41" t="s">
        <v>61</v>
      </c>
      <c r="B41" s="4">
        <v>46210.464454386602</v>
      </c>
      <c r="C41">
        <v>72</v>
      </c>
      <c r="D41">
        <v>7</v>
      </c>
      <c r="E41">
        <v>1000000</v>
      </c>
      <c r="F41">
        <v>0</v>
      </c>
      <c r="G41">
        <v>2</v>
      </c>
    </row>
    <row r="42" spans="1:7" x14ac:dyDescent="0.45">
      <c r="A42" t="s">
        <v>62</v>
      </c>
      <c r="B42" s="4">
        <v>46210.464454386602</v>
      </c>
      <c r="C42">
        <v>72</v>
      </c>
      <c r="D42">
        <v>7</v>
      </c>
      <c r="E42">
        <v>1000000</v>
      </c>
      <c r="F42">
        <v>0</v>
      </c>
      <c r="G42">
        <v>1</v>
      </c>
    </row>
    <row r="43" spans="1:7" x14ac:dyDescent="0.45">
      <c r="A43" t="s">
        <v>63</v>
      </c>
      <c r="B43" s="4">
        <v>46210.464454409703</v>
      </c>
      <c r="C43">
        <v>9971</v>
      </c>
      <c r="D43">
        <v>580</v>
      </c>
      <c r="E43">
        <v>1000000</v>
      </c>
      <c r="F43">
        <v>7</v>
      </c>
      <c r="G43">
        <v>3</v>
      </c>
    </row>
    <row r="44" spans="1:7" x14ac:dyDescent="0.45">
      <c r="A44" t="s">
        <v>64</v>
      </c>
      <c r="B44" s="4">
        <v>46210.464454421301</v>
      </c>
      <c r="C44">
        <v>809</v>
      </c>
      <c r="D44">
        <v>90</v>
      </c>
      <c r="E44">
        <v>1000000</v>
      </c>
      <c r="F44">
        <v>0</v>
      </c>
      <c r="G44">
        <v>9</v>
      </c>
    </row>
    <row r="45" spans="1:7" x14ac:dyDescent="0.45">
      <c r="A45" t="s">
        <v>65</v>
      </c>
      <c r="B45" s="4">
        <v>46210.464454421301</v>
      </c>
      <c r="C45">
        <v>2142</v>
      </c>
      <c r="D45">
        <v>89</v>
      </c>
      <c r="E45">
        <v>1000000</v>
      </c>
      <c r="F45">
        <v>1</v>
      </c>
      <c r="G45">
        <v>0</v>
      </c>
    </row>
    <row r="46" spans="1:7" x14ac:dyDescent="0.45">
      <c r="A46" t="s">
        <v>66</v>
      </c>
      <c r="B46" s="4">
        <v>46210.464454421301</v>
      </c>
      <c r="C46">
        <v>467</v>
      </c>
      <c r="D46">
        <v>87</v>
      </c>
      <c r="E46">
        <v>2000000</v>
      </c>
      <c r="F46">
        <v>0</v>
      </c>
      <c r="G46">
        <v>0</v>
      </c>
    </row>
    <row r="47" spans="1:7" x14ac:dyDescent="0.45">
      <c r="A47" t="s">
        <v>67</v>
      </c>
      <c r="B47" s="4">
        <v>46210.464454421301</v>
      </c>
      <c r="C47">
        <v>231</v>
      </c>
      <c r="D47">
        <v>56</v>
      </c>
      <c r="E47">
        <v>1000000</v>
      </c>
      <c r="F47">
        <v>0</v>
      </c>
      <c r="G47">
        <v>0</v>
      </c>
    </row>
    <row r="48" spans="1:7" x14ac:dyDescent="0.45">
      <c r="A48" t="s">
        <v>68</v>
      </c>
      <c r="B48" s="4">
        <v>46210.464454421301</v>
      </c>
      <c r="C48">
        <v>64</v>
      </c>
      <c r="D48">
        <v>44</v>
      </c>
      <c r="E48">
        <v>1000000</v>
      </c>
      <c r="F48">
        <v>0</v>
      </c>
      <c r="G48">
        <v>2</v>
      </c>
    </row>
    <row r="49" spans="1:7" x14ac:dyDescent="0.45">
      <c r="A49" t="s">
        <v>69</v>
      </c>
      <c r="B49" s="4">
        <v>46210.464454444402</v>
      </c>
      <c r="C49">
        <v>600</v>
      </c>
      <c r="D49">
        <v>30</v>
      </c>
      <c r="E49">
        <v>734000</v>
      </c>
      <c r="F49">
        <v>0</v>
      </c>
      <c r="G49">
        <v>0</v>
      </c>
    </row>
    <row r="50" spans="1:7" x14ac:dyDescent="0.45">
      <c r="A50" t="s">
        <v>70</v>
      </c>
      <c r="B50" s="4">
        <v>46210.464454444402</v>
      </c>
      <c r="C50">
        <v>136</v>
      </c>
      <c r="D50">
        <v>27</v>
      </c>
      <c r="E50">
        <v>2000000</v>
      </c>
      <c r="F50">
        <v>1</v>
      </c>
      <c r="G50">
        <v>0</v>
      </c>
    </row>
    <row r="51" spans="1:7" x14ac:dyDescent="0.45">
      <c r="A51" t="s">
        <v>71</v>
      </c>
      <c r="B51" s="4">
        <v>46210.464454456</v>
      </c>
      <c r="C51">
        <v>206</v>
      </c>
      <c r="D51">
        <v>21</v>
      </c>
      <c r="E51">
        <v>2000000</v>
      </c>
      <c r="F51">
        <v>0</v>
      </c>
      <c r="G51">
        <v>0</v>
      </c>
    </row>
    <row r="52" spans="1:7" x14ac:dyDescent="0.45">
      <c r="A52" t="s">
        <v>72</v>
      </c>
      <c r="B52" s="4">
        <v>46210.464454490699</v>
      </c>
      <c r="C52">
        <v>498</v>
      </c>
      <c r="D52">
        <v>16</v>
      </c>
      <c r="E52">
        <v>16000</v>
      </c>
      <c r="F52">
        <v>2</v>
      </c>
      <c r="G52">
        <v>5</v>
      </c>
    </row>
    <row r="53" spans="1:7" x14ac:dyDescent="0.45">
      <c r="A53" t="s">
        <v>73</v>
      </c>
      <c r="B53" s="4">
        <v>46210.464454513902</v>
      </c>
      <c r="C53">
        <v>48</v>
      </c>
      <c r="D53">
        <v>21</v>
      </c>
      <c r="E53">
        <v>2000000</v>
      </c>
      <c r="F53">
        <v>0</v>
      </c>
      <c r="G53">
        <v>3</v>
      </c>
    </row>
    <row r="54" spans="1:7" x14ac:dyDescent="0.45">
      <c r="A54" t="s">
        <v>74</v>
      </c>
      <c r="B54" s="4">
        <v>46210.464454537003</v>
      </c>
      <c r="C54">
        <v>31</v>
      </c>
      <c r="D54">
        <v>9</v>
      </c>
      <c r="E54">
        <v>1000000</v>
      </c>
      <c r="F54">
        <v>0</v>
      </c>
      <c r="G54">
        <v>0</v>
      </c>
    </row>
    <row r="55" spans="1:7" x14ac:dyDescent="0.45">
      <c r="A55" t="s">
        <v>75</v>
      </c>
      <c r="B55" s="4">
        <v>46210.464454537003</v>
      </c>
      <c r="C55">
        <v>451</v>
      </c>
      <c r="D55">
        <v>8</v>
      </c>
      <c r="E55">
        <v>800000</v>
      </c>
      <c r="F55">
        <v>0</v>
      </c>
      <c r="G55">
        <v>1</v>
      </c>
    </row>
    <row r="56" spans="1:7" x14ac:dyDescent="0.45">
      <c r="A56" t="s">
        <v>76</v>
      </c>
      <c r="B56" s="4">
        <v>46210.464454548601</v>
      </c>
      <c r="C56">
        <v>48</v>
      </c>
      <c r="D56">
        <v>21</v>
      </c>
      <c r="E56">
        <v>1000000</v>
      </c>
      <c r="F56">
        <v>0</v>
      </c>
      <c r="G56">
        <v>3</v>
      </c>
    </row>
    <row r="57" spans="1:7" x14ac:dyDescent="0.45">
      <c r="A57" t="s">
        <v>77</v>
      </c>
      <c r="B57" s="4">
        <v>46210.464454560199</v>
      </c>
      <c r="C57">
        <v>19</v>
      </c>
      <c r="D57">
        <v>8</v>
      </c>
      <c r="E57">
        <v>1000000</v>
      </c>
      <c r="F57">
        <v>0</v>
      </c>
      <c r="G57">
        <v>0</v>
      </c>
    </row>
    <row r="58" spans="1:7" x14ac:dyDescent="0.45">
      <c r="A58" t="s">
        <v>78</v>
      </c>
      <c r="B58" s="4">
        <v>46210.4644545833</v>
      </c>
      <c r="C58">
        <v>133</v>
      </c>
      <c r="D58">
        <v>6</v>
      </c>
      <c r="E58">
        <v>1000000</v>
      </c>
      <c r="F58">
        <v>1</v>
      </c>
      <c r="G58">
        <v>9</v>
      </c>
    </row>
    <row r="59" spans="1:7" x14ac:dyDescent="0.45">
      <c r="A59" t="s">
        <v>79</v>
      </c>
      <c r="B59" s="4">
        <v>46210.4644545833</v>
      </c>
      <c r="C59">
        <v>112</v>
      </c>
      <c r="D59">
        <v>6</v>
      </c>
      <c r="E59">
        <v>1000000</v>
      </c>
      <c r="F59">
        <v>0</v>
      </c>
      <c r="G59">
        <v>1</v>
      </c>
    </row>
    <row r="60" spans="1:7" x14ac:dyDescent="0.45">
      <c r="A60" t="s">
        <v>80</v>
      </c>
      <c r="B60" s="4">
        <v>46210.464454594898</v>
      </c>
      <c r="C60">
        <v>6</v>
      </c>
      <c r="D60">
        <v>6</v>
      </c>
      <c r="E60">
        <v>1000000</v>
      </c>
      <c r="F60">
        <v>0</v>
      </c>
      <c r="G60">
        <v>1</v>
      </c>
    </row>
    <row r="61" spans="1:7" x14ac:dyDescent="0.45">
      <c r="A61" t="s">
        <v>81</v>
      </c>
      <c r="B61" s="4">
        <v>46210.464454594898</v>
      </c>
      <c r="C61">
        <v>112</v>
      </c>
      <c r="D61">
        <v>5</v>
      </c>
      <c r="E61">
        <v>381000</v>
      </c>
      <c r="F61">
        <v>0</v>
      </c>
      <c r="G61">
        <v>3</v>
      </c>
    </row>
    <row r="62" spans="1:7" x14ac:dyDescent="0.45">
      <c r="A62" t="s">
        <v>82</v>
      </c>
      <c r="B62" s="4">
        <v>46210.464454629597</v>
      </c>
      <c r="C62">
        <v>12</v>
      </c>
      <c r="D62">
        <v>7</v>
      </c>
      <c r="E62">
        <v>1000000</v>
      </c>
      <c r="F62">
        <v>0</v>
      </c>
      <c r="G62">
        <v>1</v>
      </c>
    </row>
    <row r="63" spans="1:7" x14ac:dyDescent="0.45">
      <c r="A63" t="s">
        <v>83</v>
      </c>
      <c r="B63" s="4">
        <v>46210.464454641202</v>
      </c>
      <c r="C63">
        <v>11</v>
      </c>
      <c r="D63">
        <v>5</v>
      </c>
      <c r="E63">
        <v>940000</v>
      </c>
      <c r="F63">
        <v>0</v>
      </c>
      <c r="G63">
        <v>0</v>
      </c>
    </row>
    <row r="64" spans="1:7" x14ac:dyDescent="0.45">
      <c r="A64" t="s">
        <v>84</v>
      </c>
      <c r="B64" s="4">
        <v>46210.464454641202</v>
      </c>
      <c r="C64">
        <v>7</v>
      </c>
      <c r="D64">
        <v>5</v>
      </c>
      <c r="E64">
        <v>316000</v>
      </c>
      <c r="F64">
        <v>2</v>
      </c>
      <c r="G64">
        <v>6</v>
      </c>
    </row>
    <row r="65" spans="1:7" x14ac:dyDescent="0.45">
      <c r="A65" t="s">
        <v>85</v>
      </c>
      <c r="B65" s="4">
        <v>46210.4644546528</v>
      </c>
      <c r="C65">
        <v>161</v>
      </c>
      <c r="D65">
        <v>4</v>
      </c>
      <c r="E65">
        <v>1000000</v>
      </c>
      <c r="F65">
        <v>1</v>
      </c>
      <c r="G65">
        <v>0</v>
      </c>
    </row>
    <row r="66" spans="1:7" x14ac:dyDescent="0.45">
      <c r="A66" t="s">
        <v>86</v>
      </c>
      <c r="B66" s="4">
        <v>46210.4644546528</v>
      </c>
      <c r="C66">
        <v>159</v>
      </c>
      <c r="D66">
        <v>4</v>
      </c>
      <c r="E66">
        <v>466000</v>
      </c>
      <c r="F66">
        <v>0</v>
      </c>
      <c r="G66">
        <v>4</v>
      </c>
    </row>
    <row r="67" spans="1:7" x14ac:dyDescent="0.45">
      <c r="A67" t="s">
        <v>87</v>
      </c>
      <c r="B67" s="4">
        <v>46210.464454664398</v>
      </c>
      <c r="C67">
        <v>77</v>
      </c>
      <c r="D67">
        <v>4</v>
      </c>
      <c r="E67">
        <v>1000000</v>
      </c>
      <c r="F67">
        <v>0</v>
      </c>
      <c r="G67">
        <v>0</v>
      </c>
    </row>
    <row r="68" spans="1:7" x14ac:dyDescent="0.45">
      <c r="A68" t="s">
        <v>88</v>
      </c>
      <c r="B68" s="4">
        <v>46210.464454664398</v>
      </c>
      <c r="C68">
        <v>55</v>
      </c>
      <c r="D68">
        <v>4</v>
      </c>
      <c r="E68">
        <v>1000000</v>
      </c>
      <c r="F68">
        <v>2</v>
      </c>
      <c r="G68">
        <v>0</v>
      </c>
    </row>
    <row r="69" spans="1:7" x14ac:dyDescent="0.45">
      <c r="A69" t="s">
        <v>89</v>
      </c>
      <c r="B69" s="4">
        <v>46210.464454675901</v>
      </c>
      <c r="C69">
        <v>22</v>
      </c>
      <c r="D69">
        <v>4</v>
      </c>
      <c r="E69">
        <v>7000000</v>
      </c>
      <c r="F69">
        <v>0</v>
      </c>
      <c r="G69">
        <v>1</v>
      </c>
    </row>
    <row r="70" spans="1:7" x14ac:dyDescent="0.45">
      <c r="A70" t="s">
        <v>90</v>
      </c>
      <c r="B70" s="4">
        <v>46210.464454675901</v>
      </c>
      <c r="C70">
        <v>21</v>
      </c>
      <c r="D70">
        <v>4</v>
      </c>
      <c r="E70">
        <v>1000000</v>
      </c>
      <c r="F70">
        <v>4</v>
      </c>
      <c r="G70">
        <v>2</v>
      </c>
    </row>
    <row r="71" spans="1:7" x14ac:dyDescent="0.45">
      <c r="A71" t="s">
        <v>91</v>
      </c>
      <c r="B71" s="4">
        <v>46210.464454687499</v>
      </c>
      <c r="C71">
        <v>233</v>
      </c>
      <c r="D71">
        <v>3</v>
      </c>
      <c r="E71">
        <v>1000000</v>
      </c>
      <c r="F71">
        <v>3</v>
      </c>
      <c r="G71">
        <v>1</v>
      </c>
    </row>
    <row r="72" spans="1:7" x14ac:dyDescent="0.45">
      <c r="A72" t="s">
        <v>92</v>
      </c>
      <c r="B72" s="4">
        <v>46210.464454699097</v>
      </c>
      <c r="C72">
        <v>131</v>
      </c>
      <c r="D72">
        <v>3</v>
      </c>
      <c r="E72">
        <v>1000000</v>
      </c>
      <c r="F72">
        <v>1</v>
      </c>
      <c r="G72">
        <v>0</v>
      </c>
    </row>
    <row r="73" spans="1:7" x14ac:dyDescent="0.45">
      <c r="A73" t="s">
        <v>93</v>
      </c>
      <c r="B73" s="4">
        <v>46210.464454733803</v>
      </c>
      <c r="C73">
        <v>33</v>
      </c>
      <c r="D73">
        <v>3</v>
      </c>
      <c r="E73">
        <v>1000000</v>
      </c>
      <c r="F73">
        <v>0</v>
      </c>
      <c r="G73">
        <v>0</v>
      </c>
    </row>
    <row r="74" spans="1:7" x14ac:dyDescent="0.45">
      <c r="A74" t="s">
        <v>94</v>
      </c>
      <c r="B74" s="4">
        <v>46210.464454756897</v>
      </c>
      <c r="C74">
        <v>16</v>
      </c>
      <c r="D74">
        <v>3</v>
      </c>
      <c r="E74">
        <v>934000</v>
      </c>
      <c r="F74">
        <v>3</v>
      </c>
      <c r="G74">
        <v>1</v>
      </c>
    </row>
    <row r="75" spans="1:7" x14ac:dyDescent="0.45">
      <c r="A75" t="s">
        <v>95</v>
      </c>
      <c r="B75" s="4">
        <v>46210.464454756897</v>
      </c>
      <c r="C75">
        <v>15</v>
      </c>
      <c r="D75">
        <v>3</v>
      </c>
      <c r="E75">
        <v>965000</v>
      </c>
      <c r="F75">
        <v>0</v>
      </c>
      <c r="G75">
        <v>0</v>
      </c>
    </row>
    <row r="76" spans="1:7" x14ac:dyDescent="0.45">
      <c r="A76" t="s">
        <v>96</v>
      </c>
      <c r="B76" s="4">
        <v>46210.464454768502</v>
      </c>
      <c r="C76">
        <v>12</v>
      </c>
      <c r="D76">
        <v>3</v>
      </c>
      <c r="E76">
        <v>1000000</v>
      </c>
      <c r="F76">
        <v>3</v>
      </c>
      <c r="G76">
        <v>0</v>
      </c>
    </row>
    <row r="77" spans="1:7" x14ac:dyDescent="0.45">
      <c r="A77" t="s">
        <v>97</v>
      </c>
      <c r="B77" s="4">
        <v>46210.4644547801</v>
      </c>
      <c r="C77">
        <v>7</v>
      </c>
      <c r="D77">
        <v>3</v>
      </c>
      <c r="E77">
        <v>890000</v>
      </c>
      <c r="F77">
        <v>0</v>
      </c>
      <c r="G77">
        <v>1</v>
      </c>
    </row>
    <row r="78" spans="1:7" x14ac:dyDescent="0.45">
      <c r="A78" t="s">
        <v>98</v>
      </c>
      <c r="B78" s="4">
        <v>46210.4644547801</v>
      </c>
      <c r="C78">
        <v>6</v>
      </c>
      <c r="D78">
        <v>3</v>
      </c>
      <c r="E78">
        <v>1000000</v>
      </c>
      <c r="F78">
        <v>0</v>
      </c>
      <c r="G78">
        <v>1</v>
      </c>
    </row>
    <row r="79" spans="1:7" x14ac:dyDescent="0.45">
      <c r="A79" t="s">
        <v>99</v>
      </c>
      <c r="B79" s="4">
        <v>46210.464454803201</v>
      </c>
      <c r="C79">
        <v>16</v>
      </c>
      <c r="D79">
        <v>4</v>
      </c>
      <c r="E79">
        <v>398000</v>
      </c>
      <c r="F79">
        <v>0</v>
      </c>
      <c r="G79">
        <v>0</v>
      </c>
    </row>
    <row r="80" spans="1:7" x14ac:dyDescent="0.45">
      <c r="A80" t="s">
        <v>100</v>
      </c>
      <c r="B80" s="4">
        <v>46210.464454803201</v>
      </c>
      <c r="C80">
        <v>16</v>
      </c>
      <c r="D80">
        <v>4</v>
      </c>
      <c r="E80">
        <v>384000</v>
      </c>
      <c r="F80">
        <v>0</v>
      </c>
      <c r="G80">
        <v>0</v>
      </c>
    </row>
    <row r="81" spans="1:7" x14ac:dyDescent="0.45">
      <c r="A81" t="s">
        <v>101</v>
      </c>
      <c r="B81" s="4">
        <v>46210.464454803201</v>
      </c>
      <c r="C81">
        <v>12</v>
      </c>
      <c r="D81">
        <v>7</v>
      </c>
      <c r="E81">
        <v>1000000</v>
      </c>
      <c r="F81">
        <v>0</v>
      </c>
      <c r="G81">
        <v>2</v>
      </c>
    </row>
    <row r="82" spans="1:7" x14ac:dyDescent="0.45">
      <c r="A82" t="s">
        <v>102</v>
      </c>
      <c r="B82" s="4">
        <v>46210.464454884299</v>
      </c>
      <c r="C82">
        <v>1120</v>
      </c>
      <c r="D82">
        <v>26</v>
      </c>
      <c r="E82">
        <v>2000000</v>
      </c>
      <c r="F82">
        <v>4</v>
      </c>
      <c r="G82">
        <v>3</v>
      </c>
    </row>
    <row r="83" spans="1:7" x14ac:dyDescent="0.45">
      <c r="A83" t="s">
        <v>103</v>
      </c>
      <c r="B83" s="4">
        <v>46210.464454930603</v>
      </c>
      <c r="C83">
        <v>112</v>
      </c>
      <c r="D83">
        <v>6</v>
      </c>
      <c r="E83">
        <v>1000000</v>
      </c>
      <c r="F83">
        <v>0</v>
      </c>
      <c r="G83">
        <v>1</v>
      </c>
    </row>
    <row r="84" spans="1:7" x14ac:dyDescent="0.45">
      <c r="A84" t="s">
        <v>104</v>
      </c>
      <c r="B84" s="4">
        <v>46210.464454988403</v>
      </c>
      <c r="C84">
        <v>10</v>
      </c>
      <c r="D84">
        <v>8</v>
      </c>
      <c r="E84">
        <v>1000000</v>
      </c>
      <c r="F84">
        <v>0</v>
      </c>
      <c r="G84">
        <v>2</v>
      </c>
    </row>
    <row r="85" spans="1:7" x14ac:dyDescent="0.45">
      <c r="A85" t="s">
        <v>105</v>
      </c>
      <c r="B85" s="4">
        <v>46210.464455000001</v>
      </c>
      <c r="C85">
        <v>2523</v>
      </c>
      <c r="D85">
        <v>141</v>
      </c>
      <c r="E85">
        <v>1000000</v>
      </c>
      <c r="F85">
        <v>1</v>
      </c>
      <c r="G85">
        <v>1</v>
      </c>
    </row>
    <row r="86" spans="1:7" x14ac:dyDescent="0.45">
      <c r="A86" t="s">
        <v>106</v>
      </c>
      <c r="B86" s="4">
        <v>46210.464455000001</v>
      </c>
      <c r="C86">
        <v>227</v>
      </c>
      <c r="D86">
        <v>118</v>
      </c>
      <c r="E86">
        <v>8000000</v>
      </c>
      <c r="F86">
        <v>0</v>
      </c>
      <c r="G86">
        <v>0</v>
      </c>
    </row>
    <row r="87" spans="1:7" x14ac:dyDescent="0.45">
      <c r="A87" t="s">
        <v>107</v>
      </c>
      <c r="B87" s="4">
        <v>46210.464455023102</v>
      </c>
      <c r="C87">
        <v>266</v>
      </c>
      <c r="D87">
        <v>90</v>
      </c>
      <c r="E87">
        <v>1000000</v>
      </c>
      <c r="F87">
        <v>4</v>
      </c>
      <c r="G87">
        <v>1</v>
      </c>
    </row>
    <row r="88" spans="1:7" x14ac:dyDescent="0.45">
      <c r="A88" t="s">
        <v>108</v>
      </c>
      <c r="B88" s="4">
        <v>46210.464455023102</v>
      </c>
      <c r="C88">
        <v>461</v>
      </c>
      <c r="D88">
        <v>64</v>
      </c>
      <c r="E88">
        <v>1000000</v>
      </c>
      <c r="F88">
        <v>3</v>
      </c>
      <c r="G88">
        <v>1</v>
      </c>
    </row>
    <row r="89" spans="1:7" x14ac:dyDescent="0.45">
      <c r="A89" t="s">
        <v>109</v>
      </c>
      <c r="B89" s="4">
        <v>46210.4644550347</v>
      </c>
      <c r="C89">
        <v>118</v>
      </c>
      <c r="D89">
        <v>51</v>
      </c>
      <c r="E89">
        <v>1000000</v>
      </c>
      <c r="F89">
        <v>0</v>
      </c>
      <c r="G89">
        <v>3</v>
      </c>
    </row>
    <row r="90" spans="1:7" x14ac:dyDescent="0.45">
      <c r="A90" t="s">
        <v>110</v>
      </c>
      <c r="B90" s="4">
        <v>46210.464455046298</v>
      </c>
      <c r="C90">
        <v>62</v>
      </c>
      <c r="D90">
        <v>42</v>
      </c>
      <c r="E90">
        <v>1000000</v>
      </c>
      <c r="F90">
        <v>3</v>
      </c>
      <c r="G90">
        <v>2</v>
      </c>
    </row>
    <row r="91" spans="1:7" x14ac:dyDescent="0.45">
      <c r="A91" t="s">
        <v>111</v>
      </c>
      <c r="B91" s="4">
        <v>46210.464455057903</v>
      </c>
      <c r="C91">
        <v>39</v>
      </c>
      <c r="D91">
        <v>32</v>
      </c>
      <c r="E91">
        <v>1000000</v>
      </c>
      <c r="F91">
        <v>3</v>
      </c>
      <c r="G91">
        <v>0</v>
      </c>
    </row>
    <row r="92" spans="1:7" x14ac:dyDescent="0.45">
      <c r="A92" t="s">
        <v>112</v>
      </c>
      <c r="B92" s="4">
        <v>46210.464455080997</v>
      </c>
      <c r="C92">
        <v>226</v>
      </c>
      <c r="D92">
        <v>18</v>
      </c>
      <c r="E92">
        <v>2000000</v>
      </c>
      <c r="F92">
        <v>2</v>
      </c>
      <c r="G92">
        <v>0</v>
      </c>
    </row>
    <row r="93" spans="1:7" x14ac:dyDescent="0.45">
      <c r="A93" t="s">
        <v>113</v>
      </c>
      <c r="B93" s="4">
        <v>46210.464455080997</v>
      </c>
      <c r="C93">
        <v>30</v>
      </c>
      <c r="D93">
        <v>18</v>
      </c>
      <c r="E93">
        <v>1000000</v>
      </c>
      <c r="F93">
        <v>4</v>
      </c>
      <c r="G93">
        <v>0</v>
      </c>
    </row>
    <row r="94" spans="1:7" x14ac:dyDescent="0.45">
      <c r="A94" t="s">
        <v>114</v>
      </c>
      <c r="B94" s="4">
        <v>46210.464455092602</v>
      </c>
      <c r="C94">
        <v>211</v>
      </c>
      <c r="D94">
        <v>14</v>
      </c>
      <c r="E94">
        <v>1000000</v>
      </c>
      <c r="F94">
        <v>0</v>
      </c>
      <c r="G94">
        <v>2</v>
      </c>
    </row>
    <row r="95" spans="1:7" x14ac:dyDescent="0.45">
      <c r="A95" t="s">
        <v>115</v>
      </c>
      <c r="B95" s="4">
        <v>46210.464455115703</v>
      </c>
      <c r="C95">
        <v>140</v>
      </c>
      <c r="D95">
        <v>12</v>
      </c>
      <c r="E95">
        <v>1000000</v>
      </c>
      <c r="F95">
        <v>0</v>
      </c>
      <c r="G95">
        <v>1</v>
      </c>
    </row>
    <row r="96" spans="1:7" x14ac:dyDescent="0.45">
      <c r="A96" t="s">
        <v>116</v>
      </c>
      <c r="B96" s="4">
        <v>46210.464455127301</v>
      </c>
      <c r="C96">
        <v>28</v>
      </c>
      <c r="D96">
        <v>12</v>
      </c>
      <c r="E96">
        <v>1000000</v>
      </c>
      <c r="F96">
        <v>1</v>
      </c>
      <c r="G96">
        <v>0</v>
      </c>
    </row>
    <row r="97" spans="1:7" x14ac:dyDescent="0.45">
      <c r="A97" t="s">
        <v>117</v>
      </c>
      <c r="B97" s="4">
        <v>46210.464455127301</v>
      </c>
      <c r="C97">
        <v>15</v>
      </c>
      <c r="D97">
        <v>12</v>
      </c>
      <c r="E97">
        <v>372000</v>
      </c>
      <c r="F97">
        <v>0</v>
      </c>
      <c r="G97">
        <v>0</v>
      </c>
    </row>
    <row r="98" spans="1:7" x14ac:dyDescent="0.45">
      <c r="A98" t="s">
        <v>118</v>
      </c>
      <c r="B98" s="4">
        <v>46210.464455127301</v>
      </c>
      <c r="C98">
        <v>3598</v>
      </c>
      <c r="D98">
        <v>10</v>
      </c>
      <c r="E98">
        <v>1000000</v>
      </c>
      <c r="F98">
        <v>4</v>
      </c>
      <c r="G98">
        <v>1</v>
      </c>
    </row>
    <row r="99" spans="1:7" x14ac:dyDescent="0.45">
      <c r="A99" t="s">
        <v>119</v>
      </c>
      <c r="B99" s="4">
        <v>46210.464455150497</v>
      </c>
      <c r="C99">
        <v>36</v>
      </c>
      <c r="D99">
        <v>10</v>
      </c>
      <c r="E99">
        <v>2000000</v>
      </c>
      <c r="F99">
        <v>0</v>
      </c>
      <c r="G99">
        <v>1</v>
      </c>
    </row>
    <row r="100" spans="1:7" x14ac:dyDescent="0.45">
      <c r="A100" t="s">
        <v>120</v>
      </c>
      <c r="B100" s="4">
        <v>46210.464455150497</v>
      </c>
      <c r="C100">
        <v>27</v>
      </c>
      <c r="D100">
        <v>10</v>
      </c>
      <c r="E100">
        <v>774000</v>
      </c>
      <c r="F100">
        <v>0</v>
      </c>
      <c r="G100">
        <v>2</v>
      </c>
    </row>
    <row r="101" spans="1:7" x14ac:dyDescent="0.45">
      <c r="A101" t="s">
        <v>121</v>
      </c>
      <c r="B101" s="4">
        <v>46210.464455150497</v>
      </c>
      <c r="C101">
        <v>20</v>
      </c>
      <c r="D101">
        <v>11</v>
      </c>
      <c r="E101">
        <v>2000000</v>
      </c>
      <c r="F101">
        <v>2</v>
      </c>
      <c r="G101">
        <v>0</v>
      </c>
    </row>
    <row r="102" spans="1:7" x14ac:dyDescent="0.45">
      <c r="A102" t="s">
        <v>122</v>
      </c>
      <c r="B102" s="4">
        <v>46210.464455196801</v>
      </c>
      <c r="C102">
        <v>21</v>
      </c>
      <c r="D102">
        <v>7</v>
      </c>
      <c r="E102">
        <v>2000000</v>
      </c>
      <c r="F102">
        <v>0</v>
      </c>
      <c r="G102">
        <v>0</v>
      </c>
    </row>
    <row r="103" spans="1:7" x14ac:dyDescent="0.45">
      <c r="A103" t="s">
        <v>123</v>
      </c>
      <c r="B103" s="4">
        <v>46210.464455266199</v>
      </c>
      <c r="C103">
        <v>201</v>
      </c>
      <c r="D103">
        <v>5</v>
      </c>
      <c r="E103">
        <v>1000000</v>
      </c>
      <c r="F103">
        <v>1</v>
      </c>
      <c r="G103">
        <v>3</v>
      </c>
    </row>
    <row r="104" spans="1:7" x14ac:dyDescent="0.45">
      <c r="A104" t="s">
        <v>124</v>
      </c>
      <c r="B104" s="4">
        <v>46210.464455277797</v>
      </c>
      <c r="C104">
        <v>32</v>
      </c>
      <c r="D104">
        <v>5</v>
      </c>
      <c r="E104">
        <v>1000000</v>
      </c>
      <c r="F104">
        <v>2</v>
      </c>
      <c r="G104">
        <v>0</v>
      </c>
    </row>
    <row r="105" spans="1:7" x14ac:dyDescent="0.45">
      <c r="A105" t="s">
        <v>125</v>
      </c>
      <c r="B105" s="4">
        <v>46210.464455300898</v>
      </c>
      <c r="C105">
        <v>86</v>
      </c>
      <c r="D105">
        <v>4</v>
      </c>
      <c r="E105">
        <v>1000000</v>
      </c>
      <c r="F105">
        <v>0</v>
      </c>
      <c r="G105">
        <v>0</v>
      </c>
    </row>
    <row r="106" spans="1:7" x14ac:dyDescent="0.45">
      <c r="A106" t="s">
        <v>126</v>
      </c>
      <c r="B106" s="4">
        <v>46210.464455300898</v>
      </c>
      <c r="C106">
        <v>66</v>
      </c>
      <c r="D106">
        <v>4</v>
      </c>
      <c r="E106">
        <v>334000</v>
      </c>
      <c r="F106">
        <v>0</v>
      </c>
      <c r="G106">
        <v>0</v>
      </c>
    </row>
    <row r="107" spans="1:7" x14ac:dyDescent="0.45">
      <c r="A107" t="s">
        <v>127</v>
      </c>
      <c r="B107" s="4">
        <v>46210.464455312504</v>
      </c>
      <c r="C107">
        <v>33</v>
      </c>
      <c r="D107">
        <v>4</v>
      </c>
      <c r="E107">
        <v>1000000</v>
      </c>
      <c r="F107">
        <v>1</v>
      </c>
      <c r="G107">
        <v>0</v>
      </c>
    </row>
    <row r="108" spans="1:7" x14ac:dyDescent="0.45">
      <c r="A108" t="s">
        <v>128</v>
      </c>
      <c r="B108" s="4">
        <v>46210.464455312504</v>
      </c>
      <c r="C108">
        <v>23</v>
      </c>
      <c r="D108">
        <v>4</v>
      </c>
      <c r="E108">
        <v>1000000</v>
      </c>
      <c r="F108">
        <v>0</v>
      </c>
      <c r="G108">
        <v>2</v>
      </c>
    </row>
    <row r="109" spans="1:7" x14ac:dyDescent="0.45">
      <c r="A109" t="s">
        <v>129</v>
      </c>
      <c r="B109" s="4">
        <v>46210.464455312504</v>
      </c>
      <c r="C109">
        <v>20</v>
      </c>
      <c r="D109">
        <v>4</v>
      </c>
      <c r="E109">
        <v>2000000</v>
      </c>
      <c r="F109">
        <v>0</v>
      </c>
      <c r="G109">
        <v>0</v>
      </c>
    </row>
    <row r="110" spans="1:7" x14ac:dyDescent="0.45">
      <c r="A110" t="s">
        <v>130</v>
      </c>
      <c r="B110" s="4">
        <v>46210.464455312504</v>
      </c>
      <c r="C110">
        <v>19</v>
      </c>
      <c r="D110">
        <v>4</v>
      </c>
      <c r="E110">
        <v>973000</v>
      </c>
      <c r="F110">
        <v>0</v>
      </c>
      <c r="G110">
        <v>1</v>
      </c>
    </row>
    <row r="111" spans="1:7" x14ac:dyDescent="0.45">
      <c r="A111" t="s">
        <v>131</v>
      </c>
      <c r="B111" s="4">
        <v>46210.464455324101</v>
      </c>
      <c r="C111">
        <v>12</v>
      </c>
      <c r="D111">
        <v>4</v>
      </c>
      <c r="E111">
        <v>1000000</v>
      </c>
      <c r="F111">
        <v>4</v>
      </c>
      <c r="G111">
        <v>0</v>
      </c>
    </row>
    <row r="112" spans="1:7" x14ac:dyDescent="0.45">
      <c r="A112" t="s">
        <v>132</v>
      </c>
      <c r="B112" s="4">
        <v>46210.4644553588</v>
      </c>
      <c r="C112">
        <v>204</v>
      </c>
      <c r="D112">
        <v>3</v>
      </c>
      <c r="E112">
        <v>1000000</v>
      </c>
      <c r="F112">
        <v>0</v>
      </c>
      <c r="G112">
        <v>0</v>
      </c>
    </row>
    <row r="113" spans="1:7" x14ac:dyDescent="0.45">
      <c r="A113" t="s">
        <v>133</v>
      </c>
      <c r="B113" s="4">
        <v>46210.4644553588</v>
      </c>
      <c r="C113">
        <v>194</v>
      </c>
      <c r="D113">
        <v>3</v>
      </c>
      <c r="E113">
        <v>797000</v>
      </c>
      <c r="F113">
        <v>0</v>
      </c>
      <c r="G113">
        <v>0</v>
      </c>
    </row>
    <row r="114" spans="1:7" x14ac:dyDescent="0.45">
      <c r="A114" t="s">
        <v>134</v>
      </c>
      <c r="B114" s="4">
        <v>46210.4644553588</v>
      </c>
      <c r="C114">
        <v>172</v>
      </c>
      <c r="D114">
        <v>3</v>
      </c>
      <c r="E114">
        <v>1000000</v>
      </c>
      <c r="F114">
        <v>1</v>
      </c>
      <c r="G114">
        <v>0</v>
      </c>
    </row>
    <row r="115" spans="1:7" x14ac:dyDescent="0.45">
      <c r="A115" t="s">
        <v>135</v>
      </c>
      <c r="B115" s="4">
        <v>46210.4644553588</v>
      </c>
      <c r="C115">
        <v>162</v>
      </c>
      <c r="D115">
        <v>3</v>
      </c>
      <c r="E115">
        <v>1000000</v>
      </c>
      <c r="F115">
        <v>6</v>
      </c>
      <c r="G115">
        <v>0</v>
      </c>
    </row>
    <row r="116" spans="1:7" x14ac:dyDescent="0.45">
      <c r="A116" t="s">
        <v>136</v>
      </c>
      <c r="B116" s="4">
        <v>46210.464455370398</v>
      </c>
      <c r="C116">
        <v>95</v>
      </c>
      <c r="D116">
        <v>3</v>
      </c>
      <c r="E116">
        <v>733000</v>
      </c>
      <c r="F116">
        <v>0</v>
      </c>
      <c r="G116">
        <v>5</v>
      </c>
    </row>
    <row r="117" spans="1:7" x14ac:dyDescent="0.45">
      <c r="A117" t="s">
        <v>137</v>
      </c>
      <c r="B117" s="4">
        <v>46210.464455381902</v>
      </c>
      <c r="C117">
        <v>44</v>
      </c>
      <c r="D117">
        <v>3</v>
      </c>
      <c r="E117">
        <v>1000000</v>
      </c>
      <c r="F117">
        <v>0</v>
      </c>
      <c r="G117">
        <v>0</v>
      </c>
    </row>
    <row r="118" spans="1:7" x14ac:dyDescent="0.45">
      <c r="A118" t="s">
        <v>138</v>
      </c>
      <c r="B118" s="4">
        <v>46210.464455428199</v>
      </c>
      <c r="C118">
        <v>10</v>
      </c>
      <c r="D118">
        <v>3</v>
      </c>
      <c r="E118">
        <v>1000000</v>
      </c>
      <c r="F118">
        <v>0</v>
      </c>
      <c r="G118">
        <v>2</v>
      </c>
    </row>
    <row r="119" spans="1:7" x14ac:dyDescent="0.45">
      <c r="A119" t="s">
        <v>139</v>
      </c>
      <c r="B119" s="4">
        <v>46210.464455428199</v>
      </c>
      <c r="C119">
        <v>10</v>
      </c>
      <c r="D119">
        <v>3</v>
      </c>
      <c r="E119">
        <v>1000000</v>
      </c>
      <c r="F119">
        <v>1</v>
      </c>
      <c r="G119">
        <v>0</v>
      </c>
    </row>
    <row r="120" spans="1:7" x14ac:dyDescent="0.45">
      <c r="A120" t="s">
        <v>140</v>
      </c>
      <c r="B120" s="4">
        <v>46210.464455544003</v>
      </c>
      <c r="C120">
        <v>29</v>
      </c>
      <c r="D120">
        <v>3</v>
      </c>
      <c r="E120">
        <v>5000000</v>
      </c>
      <c r="F120">
        <v>0</v>
      </c>
      <c r="G120">
        <v>2</v>
      </c>
    </row>
    <row r="121" spans="1:7" x14ac:dyDescent="0.45">
      <c r="A121" t="s">
        <v>141</v>
      </c>
      <c r="B121" s="4">
        <v>46210.464455555601</v>
      </c>
      <c r="C121">
        <v>19</v>
      </c>
      <c r="D121">
        <v>11</v>
      </c>
      <c r="E121">
        <v>2000000</v>
      </c>
      <c r="F121">
        <v>2</v>
      </c>
      <c r="G121">
        <v>0</v>
      </c>
    </row>
    <row r="122" spans="1:7" x14ac:dyDescent="0.45">
      <c r="A122" t="s">
        <v>142</v>
      </c>
      <c r="B122" s="4">
        <v>46210.464455555601</v>
      </c>
      <c r="C122">
        <v>9</v>
      </c>
      <c r="D122">
        <v>3</v>
      </c>
      <c r="E122">
        <v>1000000</v>
      </c>
      <c r="F122">
        <v>0</v>
      </c>
      <c r="G122">
        <v>3</v>
      </c>
    </row>
    <row r="123" spans="1:7" x14ac:dyDescent="0.45">
      <c r="A123" t="s">
        <v>143</v>
      </c>
      <c r="B123" s="4">
        <v>46210.464455567097</v>
      </c>
      <c r="C123">
        <v>380</v>
      </c>
      <c r="D123">
        <v>17</v>
      </c>
      <c r="E123">
        <v>375000</v>
      </c>
      <c r="F123">
        <v>0</v>
      </c>
      <c r="G123">
        <v>1</v>
      </c>
    </row>
    <row r="124" spans="1:7" x14ac:dyDescent="0.45">
      <c r="A124" t="s">
        <v>144</v>
      </c>
      <c r="B124" s="4">
        <v>46210.464455567097</v>
      </c>
      <c r="C124">
        <v>380</v>
      </c>
      <c r="D124">
        <v>17</v>
      </c>
      <c r="E124">
        <v>373000</v>
      </c>
      <c r="F124">
        <v>0</v>
      </c>
      <c r="G124">
        <v>0</v>
      </c>
    </row>
    <row r="125" spans="1:7" x14ac:dyDescent="0.45">
      <c r="A125" t="s">
        <v>145</v>
      </c>
      <c r="B125" s="4">
        <v>46210.464455578702</v>
      </c>
      <c r="C125">
        <v>305</v>
      </c>
      <c r="D125">
        <v>11</v>
      </c>
      <c r="E125">
        <v>338000</v>
      </c>
      <c r="F125">
        <v>1</v>
      </c>
      <c r="G125">
        <v>1</v>
      </c>
    </row>
    <row r="126" spans="1:7" x14ac:dyDescent="0.45">
      <c r="A126" t="s">
        <v>146</v>
      </c>
      <c r="B126" s="4">
        <v>46210.464455578702</v>
      </c>
      <c r="C126">
        <v>211</v>
      </c>
      <c r="D126">
        <v>14</v>
      </c>
      <c r="E126">
        <v>1000000</v>
      </c>
      <c r="F126">
        <v>0</v>
      </c>
      <c r="G126">
        <v>1</v>
      </c>
    </row>
    <row r="127" spans="1:7" x14ac:dyDescent="0.45">
      <c r="A127" t="s">
        <v>147</v>
      </c>
      <c r="B127" s="4">
        <v>46210.464455578702</v>
      </c>
      <c r="C127">
        <v>204</v>
      </c>
      <c r="D127">
        <v>3</v>
      </c>
      <c r="E127">
        <v>1000000</v>
      </c>
      <c r="F127">
        <v>0</v>
      </c>
      <c r="G127">
        <v>0</v>
      </c>
    </row>
    <row r="128" spans="1:7" x14ac:dyDescent="0.45">
      <c r="A128" t="s">
        <v>148</v>
      </c>
      <c r="B128" s="4">
        <v>46210.464455613401</v>
      </c>
      <c r="C128">
        <v>66</v>
      </c>
      <c r="D128">
        <v>4</v>
      </c>
      <c r="E128">
        <v>321000</v>
      </c>
      <c r="F128">
        <v>0</v>
      </c>
      <c r="G128">
        <v>0</v>
      </c>
    </row>
    <row r="129" spans="1:7" x14ac:dyDescent="0.45">
      <c r="A129" t="s">
        <v>149</v>
      </c>
      <c r="B129" s="4">
        <v>46210.464455613401</v>
      </c>
      <c r="C129">
        <v>66</v>
      </c>
      <c r="D129">
        <v>4</v>
      </c>
      <c r="E129">
        <v>323000</v>
      </c>
      <c r="F129">
        <v>0</v>
      </c>
      <c r="G129">
        <v>0</v>
      </c>
    </row>
    <row r="130" spans="1:7" x14ac:dyDescent="0.45">
      <c r="A130" t="s">
        <v>150</v>
      </c>
      <c r="B130" s="4">
        <v>46210.464455613401</v>
      </c>
      <c r="C130">
        <v>66</v>
      </c>
      <c r="D130">
        <v>4</v>
      </c>
      <c r="E130">
        <v>357000</v>
      </c>
      <c r="F130">
        <v>0</v>
      </c>
      <c r="G130">
        <v>0</v>
      </c>
    </row>
    <row r="131" spans="1:7" x14ac:dyDescent="0.45">
      <c r="A131" t="s">
        <v>151</v>
      </c>
      <c r="B131" s="4">
        <v>46210.464455613401</v>
      </c>
      <c r="C131">
        <v>66</v>
      </c>
      <c r="D131">
        <v>4</v>
      </c>
      <c r="E131">
        <v>346000</v>
      </c>
      <c r="F131">
        <v>0</v>
      </c>
      <c r="G131">
        <v>0</v>
      </c>
    </row>
    <row r="132" spans="1:7" x14ac:dyDescent="0.45">
      <c r="A132" t="s">
        <v>152</v>
      </c>
      <c r="B132" s="4">
        <v>46210.464455613401</v>
      </c>
      <c r="C132">
        <v>66</v>
      </c>
      <c r="D132">
        <v>4</v>
      </c>
      <c r="E132">
        <v>358000</v>
      </c>
      <c r="F132">
        <v>0</v>
      </c>
      <c r="G132">
        <v>0</v>
      </c>
    </row>
    <row r="133" spans="1:7" x14ac:dyDescent="0.45">
      <c r="A133" t="s">
        <v>153</v>
      </c>
      <c r="B133" s="4">
        <v>46210.464455613401</v>
      </c>
      <c r="C133">
        <v>66</v>
      </c>
      <c r="D133">
        <v>4</v>
      </c>
      <c r="E133">
        <v>333000</v>
      </c>
      <c r="F133">
        <v>0</v>
      </c>
      <c r="G133">
        <v>0</v>
      </c>
    </row>
    <row r="134" spans="1:7" x14ac:dyDescent="0.45">
      <c r="A134" t="s">
        <v>154</v>
      </c>
      <c r="B134" s="4">
        <v>46210.464455659698</v>
      </c>
      <c r="C134">
        <v>29</v>
      </c>
      <c r="D134">
        <v>3</v>
      </c>
      <c r="E134">
        <v>640000</v>
      </c>
      <c r="F134">
        <v>0</v>
      </c>
      <c r="G134">
        <v>3</v>
      </c>
    </row>
    <row r="135" spans="1:7" x14ac:dyDescent="0.45">
      <c r="A135" t="s">
        <v>155</v>
      </c>
      <c r="B135" s="4">
        <v>46210.464455659698</v>
      </c>
      <c r="C135">
        <v>29</v>
      </c>
      <c r="D135">
        <v>3</v>
      </c>
      <c r="E135">
        <v>731000</v>
      </c>
      <c r="F135">
        <v>0</v>
      </c>
      <c r="G135">
        <v>3</v>
      </c>
    </row>
    <row r="136" spans="1:7" x14ac:dyDescent="0.45">
      <c r="A136" t="s">
        <v>156</v>
      </c>
      <c r="B136" s="4">
        <v>46210.464455694397</v>
      </c>
      <c r="C136">
        <v>10</v>
      </c>
      <c r="D136">
        <v>4</v>
      </c>
      <c r="E136">
        <v>3000000</v>
      </c>
      <c r="F136">
        <v>0</v>
      </c>
      <c r="G136">
        <v>0</v>
      </c>
    </row>
    <row r="137" spans="1:7" x14ac:dyDescent="0.45">
      <c r="A137" t="s">
        <v>157</v>
      </c>
      <c r="B137" s="4">
        <v>46210.464455706002</v>
      </c>
      <c r="C137">
        <v>9</v>
      </c>
      <c r="D137">
        <v>7</v>
      </c>
      <c r="E137">
        <v>949000</v>
      </c>
      <c r="F137">
        <v>0</v>
      </c>
      <c r="G137">
        <v>0</v>
      </c>
    </row>
    <row r="138" spans="1:7" x14ac:dyDescent="0.45">
      <c r="A138" t="s">
        <v>158</v>
      </c>
      <c r="B138" s="4">
        <v>46210.464455740701</v>
      </c>
      <c r="C138">
        <v>173</v>
      </c>
      <c r="D138">
        <v>113</v>
      </c>
      <c r="E138">
        <v>1000000</v>
      </c>
      <c r="F138">
        <v>0</v>
      </c>
      <c r="G138">
        <v>2</v>
      </c>
    </row>
    <row r="139" spans="1:7" x14ac:dyDescent="0.45">
      <c r="A139" t="s">
        <v>159</v>
      </c>
      <c r="B139" s="4">
        <v>46210.464455740701</v>
      </c>
      <c r="C139">
        <v>78</v>
      </c>
      <c r="D139">
        <v>59</v>
      </c>
      <c r="E139">
        <v>1000000</v>
      </c>
      <c r="F139">
        <v>0</v>
      </c>
      <c r="G139">
        <v>2</v>
      </c>
    </row>
    <row r="140" spans="1:7" x14ac:dyDescent="0.45">
      <c r="A140" t="s">
        <v>160</v>
      </c>
      <c r="B140" s="4">
        <v>46210.464455752299</v>
      </c>
      <c r="C140">
        <v>143</v>
      </c>
      <c r="D140">
        <v>40</v>
      </c>
      <c r="E140">
        <v>1000000</v>
      </c>
      <c r="F140">
        <v>1</v>
      </c>
      <c r="G140">
        <v>1</v>
      </c>
    </row>
    <row r="141" spans="1:7" x14ac:dyDescent="0.45">
      <c r="A141" t="s">
        <v>161</v>
      </c>
      <c r="B141" s="4">
        <v>46210.464455798603</v>
      </c>
      <c r="C141">
        <v>206</v>
      </c>
      <c r="D141">
        <v>15</v>
      </c>
      <c r="E141">
        <v>2000000</v>
      </c>
      <c r="F141">
        <v>2</v>
      </c>
      <c r="G141">
        <v>0</v>
      </c>
    </row>
    <row r="142" spans="1:7" x14ac:dyDescent="0.45">
      <c r="A142" t="s">
        <v>162</v>
      </c>
      <c r="B142" s="4">
        <v>46210.464455810201</v>
      </c>
      <c r="C142">
        <v>47</v>
      </c>
      <c r="D142">
        <v>23</v>
      </c>
      <c r="E142">
        <v>1000000</v>
      </c>
      <c r="F142">
        <v>0</v>
      </c>
      <c r="G142">
        <v>0</v>
      </c>
    </row>
    <row r="143" spans="1:7" x14ac:dyDescent="0.45">
      <c r="A143" t="s">
        <v>163</v>
      </c>
      <c r="B143" s="4">
        <v>46210.464455914298</v>
      </c>
      <c r="C143">
        <v>16</v>
      </c>
      <c r="D143">
        <v>9</v>
      </c>
      <c r="E143">
        <v>780000</v>
      </c>
      <c r="F143">
        <v>0</v>
      </c>
      <c r="G143">
        <v>0</v>
      </c>
    </row>
    <row r="144" spans="1:7" x14ac:dyDescent="0.45">
      <c r="A144" t="s">
        <v>164</v>
      </c>
      <c r="B144" s="4">
        <v>46210.4644559722</v>
      </c>
      <c r="C144">
        <v>29</v>
      </c>
      <c r="D144">
        <v>11</v>
      </c>
      <c r="E144">
        <v>539000</v>
      </c>
      <c r="F144">
        <v>0</v>
      </c>
      <c r="G144">
        <v>0</v>
      </c>
    </row>
    <row r="145" spans="1:7" x14ac:dyDescent="0.45">
      <c r="A145" t="s">
        <v>165</v>
      </c>
      <c r="B145" s="4">
        <v>46210.464456006899</v>
      </c>
      <c r="C145">
        <v>9</v>
      </c>
      <c r="D145">
        <v>4</v>
      </c>
      <c r="E145">
        <v>618000</v>
      </c>
      <c r="F145">
        <v>0</v>
      </c>
      <c r="G145">
        <v>1</v>
      </c>
    </row>
    <row r="146" spans="1:7" x14ac:dyDescent="0.45">
      <c r="A146" t="s">
        <v>166</v>
      </c>
      <c r="B146" s="4">
        <v>46210.464456145797</v>
      </c>
      <c r="C146">
        <v>22</v>
      </c>
      <c r="D146">
        <v>3</v>
      </c>
      <c r="E146">
        <v>2000000</v>
      </c>
      <c r="F146">
        <v>0</v>
      </c>
      <c r="G146">
        <v>0</v>
      </c>
    </row>
    <row r="147" spans="1:7" x14ac:dyDescent="0.45">
      <c r="A147" t="s">
        <v>167</v>
      </c>
      <c r="B147" s="4">
        <v>46210.464456215297</v>
      </c>
      <c r="C147">
        <v>59</v>
      </c>
      <c r="D147">
        <v>3</v>
      </c>
      <c r="E147">
        <v>1000000</v>
      </c>
      <c r="F147">
        <v>2</v>
      </c>
      <c r="G147">
        <v>0</v>
      </c>
    </row>
    <row r="148" spans="1:7" x14ac:dyDescent="0.45">
      <c r="A148" t="s">
        <v>168</v>
      </c>
      <c r="B148" s="4">
        <v>46210.464456261601</v>
      </c>
      <c r="C148">
        <v>21</v>
      </c>
      <c r="D148">
        <v>3</v>
      </c>
      <c r="E148">
        <v>1000000</v>
      </c>
      <c r="F148">
        <v>0</v>
      </c>
      <c r="G148">
        <v>1</v>
      </c>
    </row>
    <row r="149" spans="1:7" x14ac:dyDescent="0.45">
      <c r="A149" t="s">
        <v>169</v>
      </c>
      <c r="B149" s="4">
        <v>46210.464456388901</v>
      </c>
      <c r="C149">
        <v>140</v>
      </c>
      <c r="D149">
        <v>54</v>
      </c>
      <c r="E149">
        <v>1000000</v>
      </c>
      <c r="F149">
        <v>5</v>
      </c>
      <c r="G149">
        <v>0</v>
      </c>
    </row>
    <row r="150" spans="1:7" x14ac:dyDescent="0.45">
      <c r="A150" t="s">
        <v>170</v>
      </c>
      <c r="B150" s="4">
        <v>46210.464456412003</v>
      </c>
      <c r="C150">
        <v>43</v>
      </c>
      <c r="D150">
        <v>32</v>
      </c>
      <c r="E150">
        <v>12000000</v>
      </c>
      <c r="F150">
        <v>0</v>
      </c>
      <c r="G150">
        <v>2</v>
      </c>
    </row>
    <row r="151" spans="1:7" x14ac:dyDescent="0.45">
      <c r="A151" t="s">
        <v>171</v>
      </c>
      <c r="B151" s="4">
        <v>46210.4644564236</v>
      </c>
      <c r="C151">
        <v>14</v>
      </c>
      <c r="D151">
        <v>10</v>
      </c>
      <c r="E151">
        <v>2000000</v>
      </c>
      <c r="F151">
        <v>0</v>
      </c>
      <c r="G151">
        <v>0</v>
      </c>
    </row>
  </sheetData>
  <hyperlinks>
    <hyperlink ref="A1" location="Карта!B1" display="[Перейти в карту выгрузки]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workbookViewId="0"/>
  </sheetViews>
  <sheetFormatPr defaultColWidth="9.06640625" defaultRowHeight="14.25" x14ac:dyDescent="0.45"/>
  <cols>
    <col min="1" max="1" width="34.92968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172</v>
      </c>
      <c r="B3" s="4">
        <v>46210.464453911998</v>
      </c>
      <c r="C3">
        <v>19</v>
      </c>
      <c r="D3">
        <v>5</v>
      </c>
      <c r="E3">
        <v>13000</v>
      </c>
      <c r="F3">
        <v>0</v>
      </c>
      <c r="G3">
        <v>0</v>
      </c>
    </row>
    <row r="4" spans="1:7" x14ac:dyDescent="0.45">
      <c r="A4" t="s">
        <v>173</v>
      </c>
      <c r="B4" s="4">
        <v>46210.464453911998</v>
      </c>
      <c r="C4">
        <v>1753</v>
      </c>
      <c r="D4">
        <v>76</v>
      </c>
      <c r="E4">
        <v>13000</v>
      </c>
      <c r="F4">
        <v>0</v>
      </c>
      <c r="G4">
        <v>9</v>
      </c>
    </row>
    <row r="5" spans="1:7" x14ac:dyDescent="0.45">
      <c r="A5" t="s">
        <v>174</v>
      </c>
      <c r="B5" s="4">
        <v>46210.464453761597</v>
      </c>
      <c r="C5">
        <v>560</v>
      </c>
      <c r="D5">
        <v>27</v>
      </c>
      <c r="E5">
        <v>878000</v>
      </c>
      <c r="F5">
        <v>0</v>
      </c>
      <c r="G5">
        <v>6</v>
      </c>
    </row>
    <row r="6" spans="1:7" x14ac:dyDescent="0.45">
      <c r="A6" t="s">
        <v>175</v>
      </c>
      <c r="B6" s="4">
        <v>46212.397656469897</v>
      </c>
      <c r="C6">
        <v>11</v>
      </c>
      <c r="D6">
        <v>1</v>
      </c>
    </row>
    <row r="7" spans="1:7" x14ac:dyDescent="0.45">
      <c r="A7" t="s">
        <v>176</v>
      </c>
      <c r="B7" s="4">
        <v>46212.397656469897</v>
      </c>
      <c r="C7">
        <v>9</v>
      </c>
      <c r="D7">
        <v>1</v>
      </c>
    </row>
    <row r="8" spans="1:7" x14ac:dyDescent="0.45">
      <c r="A8" t="s">
        <v>177</v>
      </c>
      <c r="B8" s="4">
        <v>46212.397664085598</v>
      </c>
      <c r="C8">
        <v>12</v>
      </c>
      <c r="D8">
        <v>6</v>
      </c>
    </row>
    <row r="9" spans="1:7" x14ac:dyDescent="0.45">
      <c r="A9" t="s">
        <v>178</v>
      </c>
      <c r="B9" s="4">
        <v>46212.397666851903</v>
      </c>
      <c r="C9">
        <v>34</v>
      </c>
      <c r="D9">
        <v>3</v>
      </c>
    </row>
    <row r="10" spans="1:7" x14ac:dyDescent="0.45">
      <c r="A10" t="s">
        <v>179</v>
      </c>
      <c r="B10" s="4">
        <v>46212.397666921301</v>
      </c>
      <c r="C10">
        <v>9</v>
      </c>
      <c r="D10">
        <v>2</v>
      </c>
    </row>
    <row r="11" spans="1:7" x14ac:dyDescent="0.45">
      <c r="A11" t="s">
        <v>180</v>
      </c>
      <c r="B11" s="4">
        <v>46212.397660127303</v>
      </c>
      <c r="C11">
        <v>11</v>
      </c>
      <c r="D11">
        <v>6</v>
      </c>
    </row>
    <row r="12" spans="1:7" x14ac:dyDescent="0.45">
      <c r="A12" t="s">
        <v>181</v>
      </c>
      <c r="B12" s="4">
        <v>46212.397656122703</v>
      </c>
      <c r="C12">
        <v>289</v>
      </c>
      <c r="D12">
        <v>8</v>
      </c>
    </row>
    <row r="13" spans="1:7" x14ac:dyDescent="0.45">
      <c r="A13" t="s">
        <v>182</v>
      </c>
      <c r="B13" s="4">
        <v>46212.397666794001</v>
      </c>
      <c r="C13">
        <v>34</v>
      </c>
      <c r="D13">
        <v>5</v>
      </c>
    </row>
    <row r="14" spans="1:7" x14ac:dyDescent="0.45">
      <c r="A14" t="s">
        <v>183</v>
      </c>
      <c r="B14" s="4">
        <v>46212.397666747704</v>
      </c>
      <c r="C14">
        <v>46</v>
      </c>
      <c r="D14">
        <v>19</v>
      </c>
    </row>
    <row r="15" spans="1:7" x14ac:dyDescent="0.45">
      <c r="A15" t="s">
        <v>184</v>
      </c>
      <c r="B15" s="4">
        <v>46212.397658773101</v>
      </c>
      <c r="C15">
        <v>23</v>
      </c>
      <c r="D15">
        <v>1</v>
      </c>
    </row>
    <row r="16" spans="1:7" x14ac:dyDescent="0.45">
      <c r="A16" t="s">
        <v>185</v>
      </c>
      <c r="B16" s="4">
        <v>46212.397658761598</v>
      </c>
      <c r="C16">
        <v>23</v>
      </c>
      <c r="D16">
        <v>1</v>
      </c>
    </row>
    <row r="17" spans="1:4" x14ac:dyDescent="0.45">
      <c r="A17" t="s">
        <v>186</v>
      </c>
      <c r="B17" s="4">
        <v>46212.3976604977</v>
      </c>
      <c r="C17">
        <v>4</v>
      </c>
      <c r="D17">
        <v>1</v>
      </c>
    </row>
    <row r="18" spans="1:4" x14ac:dyDescent="0.45">
      <c r="A18" t="s">
        <v>187</v>
      </c>
      <c r="B18" s="4">
        <v>46212.397660046299</v>
      </c>
      <c r="C18">
        <v>1859</v>
      </c>
      <c r="D18">
        <v>15</v>
      </c>
    </row>
    <row r="19" spans="1:4" x14ac:dyDescent="0.45">
      <c r="A19" t="s">
        <v>188</v>
      </c>
      <c r="B19" s="4">
        <v>46212.397660034701</v>
      </c>
      <c r="C19">
        <v>1151</v>
      </c>
      <c r="D19">
        <v>21</v>
      </c>
    </row>
    <row r="20" spans="1:4" x14ac:dyDescent="0.45">
      <c r="A20" t="s">
        <v>189</v>
      </c>
      <c r="B20" s="4">
        <v>46212.397659918999</v>
      </c>
      <c r="C20">
        <v>2</v>
      </c>
      <c r="D20">
        <v>2</v>
      </c>
    </row>
    <row r="21" spans="1:4" x14ac:dyDescent="0.45">
      <c r="A21" t="s">
        <v>190</v>
      </c>
      <c r="B21" s="4">
        <v>46212.397660080998</v>
      </c>
      <c r="C21">
        <v>396</v>
      </c>
      <c r="D21">
        <v>9</v>
      </c>
    </row>
    <row r="22" spans="1:4" x14ac:dyDescent="0.45">
      <c r="A22" t="s">
        <v>191</v>
      </c>
      <c r="B22" s="4">
        <v>46212.397660162002</v>
      </c>
      <c r="C22">
        <v>167</v>
      </c>
      <c r="D22">
        <v>4</v>
      </c>
    </row>
    <row r="23" spans="1:4" x14ac:dyDescent="0.45">
      <c r="A23" t="s">
        <v>192</v>
      </c>
      <c r="B23" s="4">
        <v>46212.3976560417</v>
      </c>
      <c r="C23">
        <v>110</v>
      </c>
      <c r="D23">
        <v>19</v>
      </c>
    </row>
    <row r="24" spans="1:4" x14ac:dyDescent="0.45">
      <c r="A24" t="s">
        <v>193</v>
      </c>
      <c r="B24" s="4">
        <v>46212.397660717601</v>
      </c>
      <c r="C24">
        <v>1859</v>
      </c>
      <c r="D24">
        <v>15</v>
      </c>
    </row>
    <row r="25" spans="1:4" x14ac:dyDescent="0.45">
      <c r="A25" t="s">
        <v>194</v>
      </c>
      <c r="B25" s="4">
        <v>46212.397660995397</v>
      </c>
      <c r="C25">
        <v>396</v>
      </c>
      <c r="D25">
        <v>9</v>
      </c>
    </row>
    <row r="26" spans="1:4" x14ac:dyDescent="0.45">
      <c r="A26" t="s">
        <v>195</v>
      </c>
      <c r="B26" s="4">
        <v>46212.397656076399</v>
      </c>
      <c r="C26">
        <v>2623</v>
      </c>
      <c r="D26">
        <v>11</v>
      </c>
    </row>
    <row r="27" spans="1:4" x14ac:dyDescent="0.45">
      <c r="A27" t="s">
        <v>196</v>
      </c>
      <c r="B27" s="4">
        <v>46212.3976607523</v>
      </c>
      <c r="C27">
        <v>1151</v>
      </c>
      <c r="D27">
        <v>21</v>
      </c>
    </row>
    <row r="28" spans="1:4" x14ac:dyDescent="0.45">
      <c r="A28" t="s">
        <v>197</v>
      </c>
      <c r="B28" s="4">
        <v>46212.397661411997</v>
      </c>
      <c r="C28">
        <v>192</v>
      </c>
      <c r="D28">
        <v>4</v>
      </c>
    </row>
    <row r="29" spans="1:4" x14ac:dyDescent="0.45">
      <c r="A29" t="s">
        <v>198</v>
      </c>
      <c r="B29" s="4">
        <v>46212.397656250003</v>
      </c>
      <c r="C29">
        <v>1380</v>
      </c>
      <c r="D29">
        <v>2</v>
      </c>
    </row>
    <row r="30" spans="1:4" x14ac:dyDescent="0.45">
      <c r="A30" t="s">
        <v>199</v>
      </c>
      <c r="B30" s="4">
        <v>46212.397666759302</v>
      </c>
      <c r="C30">
        <v>19</v>
      </c>
      <c r="D30">
        <v>13</v>
      </c>
    </row>
    <row r="31" spans="1:4" x14ac:dyDescent="0.45">
      <c r="A31" t="s">
        <v>200</v>
      </c>
      <c r="B31" s="4">
        <v>46212.397656122703</v>
      </c>
      <c r="C31">
        <v>226</v>
      </c>
      <c r="D31">
        <v>8</v>
      </c>
    </row>
    <row r="32" spans="1:4" x14ac:dyDescent="0.45">
      <c r="A32" t="s">
        <v>201</v>
      </c>
      <c r="B32" s="4">
        <v>46212.397657187503</v>
      </c>
      <c r="C32">
        <v>298</v>
      </c>
      <c r="D32">
        <v>5</v>
      </c>
    </row>
    <row r="33" spans="1:4" x14ac:dyDescent="0.45">
      <c r="A33" t="s">
        <v>202</v>
      </c>
      <c r="B33" s="4">
        <v>46212.3976603704</v>
      </c>
      <c r="C33">
        <v>531</v>
      </c>
      <c r="D33">
        <v>1</v>
      </c>
    </row>
    <row r="34" spans="1:4" x14ac:dyDescent="0.45">
      <c r="A34" t="s">
        <v>203</v>
      </c>
      <c r="B34" s="4">
        <v>46212.397656458299</v>
      </c>
      <c r="C34">
        <v>19</v>
      </c>
      <c r="D34">
        <v>1</v>
      </c>
    </row>
    <row r="35" spans="1:4" x14ac:dyDescent="0.45">
      <c r="A35" t="s">
        <v>204</v>
      </c>
      <c r="B35" s="4">
        <v>46212.397657870402</v>
      </c>
      <c r="C35">
        <v>90</v>
      </c>
      <c r="D35">
        <v>2</v>
      </c>
    </row>
    <row r="36" spans="1:4" x14ac:dyDescent="0.45">
      <c r="A36" t="s">
        <v>205</v>
      </c>
      <c r="B36" s="4">
        <v>46212.397660717601</v>
      </c>
      <c r="C36">
        <v>1859</v>
      </c>
      <c r="D36">
        <v>15</v>
      </c>
    </row>
    <row r="37" spans="1:4" x14ac:dyDescent="0.45">
      <c r="A37" t="s">
        <v>206</v>
      </c>
      <c r="B37" s="4">
        <v>46212.397660347197</v>
      </c>
      <c r="C37">
        <v>1151</v>
      </c>
      <c r="D37">
        <v>21</v>
      </c>
    </row>
    <row r="38" spans="1:4" x14ac:dyDescent="0.45">
      <c r="A38" t="s">
        <v>207</v>
      </c>
      <c r="B38" s="4">
        <v>46212.397660995397</v>
      </c>
      <c r="C38">
        <v>396</v>
      </c>
      <c r="D38">
        <v>9</v>
      </c>
    </row>
    <row r="39" spans="1:4" x14ac:dyDescent="0.45">
      <c r="A39" t="s">
        <v>208</v>
      </c>
      <c r="B39" s="4">
        <v>46212.397661481496</v>
      </c>
      <c r="C39">
        <v>167</v>
      </c>
      <c r="D39">
        <v>4</v>
      </c>
    </row>
    <row r="40" spans="1:4" x14ac:dyDescent="0.45">
      <c r="A40" t="s">
        <v>209</v>
      </c>
      <c r="B40" s="4">
        <v>46212.397656643501</v>
      </c>
      <c r="C40">
        <v>2623</v>
      </c>
      <c r="D40">
        <v>11</v>
      </c>
    </row>
    <row r="41" spans="1:4" x14ac:dyDescent="0.45">
      <c r="A41" t="s">
        <v>210</v>
      </c>
      <c r="B41" s="4">
        <v>46212.397656655099</v>
      </c>
      <c r="C41">
        <v>1380</v>
      </c>
      <c r="D41">
        <v>2</v>
      </c>
    </row>
    <row r="42" spans="1:4" x14ac:dyDescent="0.45">
      <c r="A42" t="s">
        <v>211</v>
      </c>
      <c r="B42" s="4">
        <v>46212.397658993097</v>
      </c>
      <c r="C42">
        <v>15</v>
      </c>
      <c r="D42">
        <v>1</v>
      </c>
    </row>
    <row r="43" spans="1:4" x14ac:dyDescent="0.45">
      <c r="A43" t="s">
        <v>212</v>
      </c>
      <c r="B43" s="4">
        <v>46212.397655937501</v>
      </c>
      <c r="C43">
        <v>49665</v>
      </c>
      <c r="D43">
        <v>304</v>
      </c>
    </row>
    <row r="44" spans="1:4" x14ac:dyDescent="0.45">
      <c r="A44" t="s">
        <v>213</v>
      </c>
      <c r="B44" s="4">
        <v>46212.397662442097</v>
      </c>
      <c r="C44">
        <v>55</v>
      </c>
      <c r="D44">
        <v>2</v>
      </c>
    </row>
    <row r="45" spans="1:4" x14ac:dyDescent="0.45">
      <c r="A45" t="s">
        <v>214</v>
      </c>
      <c r="B45" s="4">
        <v>46212.397658981499</v>
      </c>
      <c r="C45">
        <v>15</v>
      </c>
      <c r="D45">
        <v>1</v>
      </c>
    </row>
    <row r="46" spans="1:4" x14ac:dyDescent="0.45">
      <c r="A46" t="s">
        <v>215</v>
      </c>
      <c r="B46" s="4">
        <v>46212.3976615625</v>
      </c>
      <c r="C46">
        <v>154</v>
      </c>
      <c r="D46">
        <v>19</v>
      </c>
    </row>
    <row r="47" spans="1:4" x14ac:dyDescent="0.45">
      <c r="A47" t="s">
        <v>216</v>
      </c>
      <c r="B47" s="4">
        <v>46212.397657187503</v>
      </c>
      <c r="C47">
        <v>298</v>
      </c>
      <c r="D47">
        <v>5</v>
      </c>
    </row>
    <row r="48" spans="1:4" x14ac:dyDescent="0.45">
      <c r="A48" t="s">
        <v>217</v>
      </c>
      <c r="B48" s="4">
        <v>46212.397660173599</v>
      </c>
      <c r="C48">
        <v>1859</v>
      </c>
      <c r="D48">
        <v>15</v>
      </c>
    </row>
    <row r="49" spans="1:4" x14ac:dyDescent="0.45">
      <c r="A49" t="s">
        <v>218</v>
      </c>
      <c r="B49" s="4">
        <v>46212.397660231502</v>
      </c>
      <c r="C49">
        <v>1151</v>
      </c>
      <c r="D49">
        <v>21</v>
      </c>
    </row>
    <row r="50" spans="1:4" x14ac:dyDescent="0.45">
      <c r="A50" t="s">
        <v>219</v>
      </c>
      <c r="B50" s="4">
        <v>46212.3976600116</v>
      </c>
      <c r="C50">
        <v>5434</v>
      </c>
      <c r="D50">
        <v>188</v>
      </c>
    </row>
    <row r="51" spans="1:4" x14ac:dyDescent="0.45">
      <c r="A51" t="s">
        <v>220</v>
      </c>
      <c r="B51" s="4">
        <v>46212.397660243099</v>
      </c>
      <c r="C51">
        <v>396</v>
      </c>
      <c r="D51">
        <v>9</v>
      </c>
    </row>
    <row r="52" spans="1:4" x14ac:dyDescent="0.45">
      <c r="A52" t="s">
        <v>221</v>
      </c>
      <c r="B52" s="4">
        <v>46212.397661481496</v>
      </c>
      <c r="C52">
        <v>167</v>
      </c>
      <c r="D52">
        <v>4</v>
      </c>
    </row>
    <row r="53" spans="1:4" x14ac:dyDescent="0.45">
      <c r="A53" t="s">
        <v>222</v>
      </c>
      <c r="B53" s="4">
        <v>46212.3976560417</v>
      </c>
      <c r="C53">
        <v>117</v>
      </c>
      <c r="D53">
        <v>19</v>
      </c>
    </row>
    <row r="54" spans="1:4" x14ac:dyDescent="0.45">
      <c r="A54" t="s">
        <v>223</v>
      </c>
      <c r="B54" s="4">
        <v>46212.397660729199</v>
      </c>
      <c r="C54">
        <v>1859</v>
      </c>
      <c r="D54">
        <v>15</v>
      </c>
    </row>
    <row r="55" spans="1:4" x14ac:dyDescent="0.45">
      <c r="A55" t="s">
        <v>224</v>
      </c>
      <c r="B55" s="4">
        <v>46212.3976566204</v>
      </c>
      <c r="C55">
        <v>2623</v>
      </c>
      <c r="D55">
        <v>11</v>
      </c>
    </row>
    <row r="56" spans="1:4" x14ac:dyDescent="0.45">
      <c r="A56" t="s">
        <v>225</v>
      </c>
      <c r="B56" s="4">
        <v>46212.397656655099</v>
      </c>
      <c r="C56">
        <v>1380</v>
      </c>
      <c r="D56">
        <v>2</v>
      </c>
    </row>
    <row r="57" spans="1:4" x14ac:dyDescent="0.45">
      <c r="A57" t="s">
        <v>226</v>
      </c>
      <c r="B57" s="4">
        <v>46212.397656111098</v>
      </c>
      <c r="C57">
        <v>226</v>
      </c>
      <c r="D57">
        <v>8</v>
      </c>
    </row>
    <row r="58" spans="1:4" x14ac:dyDescent="0.45">
      <c r="A58" t="s">
        <v>227</v>
      </c>
      <c r="B58" s="4">
        <v>46212.3976559722</v>
      </c>
      <c r="C58">
        <v>49665</v>
      </c>
      <c r="D58">
        <v>304</v>
      </c>
    </row>
    <row r="59" spans="1:4" x14ac:dyDescent="0.45">
      <c r="A59" t="s">
        <v>228</v>
      </c>
      <c r="B59" s="4">
        <v>46212.397662442097</v>
      </c>
      <c r="C59">
        <v>55</v>
      </c>
      <c r="D59">
        <v>2</v>
      </c>
    </row>
    <row r="60" spans="1:4" x14ac:dyDescent="0.45">
      <c r="A60" t="s">
        <v>229</v>
      </c>
      <c r="B60" s="4">
        <v>46212.397658969901</v>
      </c>
      <c r="C60">
        <v>15</v>
      </c>
      <c r="D60">
        <v>1</v>
      </c>
    </row>
    <row r="61" spans="1:4" x14ac:dyDescent="0.45">
      <c r="A61" t="s">
        <v>230</v>
      </c>
      <c r="B61" s="4">
        <v>46212.397658993097</v>
      </c>
      <c r="C61">
        <v>15</v>
      </c>
      <c r="D61">
        <v>1</v>
      </c>
    </row>
    <row r="62" spans="1:4" x14ac:dyDescent="0.45">
      <c r="A62" t="s">
        <v>231</v>
      </c>
      <c r="B62" s="4">
        <v>46212.3976590046</v>
      </c>
      <c r="C62">
        <v>15</v>
      </c>
      <c r="D62">
        <v>1</v>
      </c>
    </row>
    <row r="63" spans="1:4" x14ac:dyDescent="0.45">
      <c r="A63" t="s">
        <v>232</v>
      </c>
      <c r="B63" s="4">
        <v>46212.484713935199</v>
      </c>
      <c r="C63">
        <v>4</v>
      </c>
      <c r="D63">
        <v>1</v>
      </c>
    </row>
    <row r="64" spans="1:4" x14ac:dyDescent="0.45">
      <c r="A64" t="s">
        <v>233</v>
      </c>
      <c r="B64" s="4">
        <v>46212.484713877297</v>
      </c>
      <c r="C64">
        <v>1753</v>
      </c>
      <c r="D64">
        <v>7</v>
      </c>
    </row>
    <row r="65" spans="1:7" x14ac:dyDescent="0.45">
      <c r="A65" t="s">
        <v>234</v>
      </c>
      <c r="B65" s="4">
        <v>46210.464453911998</v>
      </c>
      <c r="C65">
        <v>20</v>
      </c>
      <c r="D65">
        <v>2614</v>
      </c>
      <c r="E65">
        <v>1000000</v>
      </c>
      <c r="F65">
        <v>1</v>
      </c>
      <c r="G65">
        <v>7</v>
      </c>
    </row>
    <row r="66" spans="1:7" x14ac:dyDescent="0.45">
      <c r="A66" t="s">
        <v>235</v>
      </c>
      <c r="B66" s="4">
        <v>46210.464453911998</v>
      </c>
      <c r="C66">
        <v>1</v>
      </c>
      <c r="D66">
        <v>119</v>
      </c>
      <c r="E66">
        <v>1000000</v>
      </c>
      <c r="F66">
        <v>0</v>
      </c>
      <c r="G66">
        <v>7</v>
      </c>
    </row>
    <row r="67" spans="1:7" x14ac:dyDescent="0.45">
      <c r="A67" t="s">
        <v>236</v>
      </c>
      <c r="B67" s="4">
        <v>46210.464453911998</v>
      </c>
      <c r="C67">
        <v>0</v>
      </c>
      <c r="D67">
        <v>130</v>
      </c>
      <c r="E67">
        <v>995000</v>
      </c>
      <c r="F67">
        <v>1</v>
      </c>
      <c r="G67">
        <v>1</v>
      </c>
    </row>
  </sheetData>
  <hyperlinks>
    <hyperlink ref="A1" location="Карта!B2" display="[Перейти в карту выгрузки]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/>
  </sheetViews>
  <sheetFormatPr defaultColWidth="9.06640625" defaultRowHeight="14.25" x14ac:dyDescent="0.45"/>
  <cols>
    <col min="1" max="1" width="52.13281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237</v>
      </c>
      <c r="B3" s="4">
        <v>46210.464453923603</v>
      </c>
      <c r="C3">
        <v>11</v>
      </c>
      <c r="D3">
        <v>3351</v>
      </c>
      <c r="E3">
        <v>1000000</v>
      </c>
      <c r="F3">
        <v>0</v>
      </c>
      <c r="G3">
        <v>8</v>
      </c>
    </row>
    <row r="4" spans="1:7" x14ac:dyDescent="0.45">
      <c r="A4" t="s">
        <v>238</v>
      </c>
      <c r="B4" s="4">
        <v>46210.464453923603</v>
      </c>
      <c r="C4">
        <v>27</v>
      </c>
      <c r="D4">
        <v>14</v>
      </c>
      <c r="E4">
        <v>1000000</v>
      </c>
      <c r="F4">
        <v>0</v>
      </c>
      <c r="G4">
        <v>3</v>
      </c>
    </row>
    <row r="5" spans="1:7" x14ac:dyDescent="0.45">
      <c r="A5" t="s">
        <v>239</v>
      </c>
      <c r="B5" s="4">
        <v>46211.530845879599</v>
      </c>
      <c r="C5">
        <v>11</v>
      </c>
      <c r="D5">
        <v>10</v>
      </c>
    </row>
    <row r="6" spans="1:7" x14ac:dyDescent="0.45">
      <c r="A6" t="s">
        <v>240</v>
      </c>
      <c r="B6" s="4">
        <v>46211.530845879599</v>
      </c>
      <c r="C6">
        <v>86</v>
      </c>
      <c r="D6">
        <v>9</v>
      </c>
    </row>
    <row r="7" spans="1:7" x14ac:dyDescent="0.45">
      <c r="A7" t="s">
        <v>241</v>
      </c>
      <c r="B7" s="4">
        <v>46211.530845891197</v>
      </c>
      <c r="C7">
        <v>440</v>
      </c>
      <c r="D7">
        <v>10</v>
      </c>
    </row>
    <row r="8" spans="1:7" x14ac:dyDescent="0.45">
      <c r="A8" t="s">
        <v>242</v>
      </c>
      <c r="B8" s="4">
        <v>46211.530845914298</v>
      </c>
      <c r="C8">
        <v>434</v>
      </c>
      <c r="D8">
        <v>10</v>
      </c>
    </row>
    <row r="9" spans="1:7" x14ac:dyDescent="0.45">
      <c r="A9" t="s">
        <v>243</v>
      </c>
      <c r="B9" s="4">
        <v>46211.530845937501</v>
      </c>
      <c r="C9">
        <v>137</v>
      </c>
      <c r="D9">
        <v>3</v>
      </c>
    </row>
    <row r="10" spans="1:7" x14ac:dyDescent="0.45">
      <c r="A10" t="s">
        <v>244</v>
      </c>
      <c r="B10" s="4">
        <v>46211.530845960602</v>
      </c>
      <c r="C10">
        <v>23</v>
      </c>
      <c r="D10">
        <v>2</v>
      </c>
    </row>
    <row r="11" spans="1:7" x14ac:dyDescent="0.45">
      <c r="A11" t="s">
        <v>245</v>
      </c>
      <c r="B11" s="4">
        <v>46211.530845960602</v>
      </c>
      <c r="C11">
        <v>73</v>
      </c>
      <c r="D11">
        <v>2</v>
      </c>
    </row>
    <row r="12" spans="1:7" x14ac:dyDescent="0.45">
      <c r="A12" t="s">
        <v>246</v>
      </c>
      <c r="B12" s="4">
        <v>46211.5308459722</v>
      </c>
      <c r="C12">
        <v>92</v>
      </c>
      <c r="D12">
        <v>2</v>
      </c>
    </row>
    <row r="13" spans="1:7" x14ac:dyDescent="0.45">
      <c r="A13" t="s">
        <v>247</v>
      </c>
      <c r="B13" s="4">
        <v>46211.530845983798</v>
      </c>
      <c r="C13">
        <v>117</v>
      </c>
      <c r="D13">
        <v>2</v>
      </c>
    </row>
    <row r="14" spans="1:7" x14ac:dyDescent="0.45">
      <c r="A14" t="s">
        <v>248</v>
      </c>
      <c r="B14" s="4">
        <v>46211.530846006899</v>
      </c>
      <c r="C14">
        <v>10</v>
      </c>
      <c r="D14">
        <v>2</v>
      </c>
    </row>
    <row r="15" spans="1:7" x14ac:dyDescent="0.45">
      <c r="A15" t="s">
        <v>249</v>
      </c>
      <c r="B15" s="4">
        <v>46211.530846006899</v>
      </c>
      <c r="C15">
        <v>3</v>
      </c>
      <c r="D15">
        <v>1</v>
      </c>
    </row>
    <row r="16" spans="1:7" x14ac:dyDescent="0.45">
      <c r="A16" t="s">
        <v>250</v>
      </c>
      <c r="B16" s="4">
        <v>46211.5308467824</v>
      </c>
      <c r="C16">
        <v>99</v>
      </c>
      <c r="D16">
        <v>25</v>
      </c>
    </row>
    <row r="17" spans="1:4" x14ac:dyDescent="0.45">
      <c r="A17" t="s">
        <v>251</v>
      </c>
      <c r="B17" s="4">
        <v>46211.530846793998</v>
      </c>
      <c r="C17">
        <v>27</v>
      </c>
      <c r="D17">
        <v>19</v>
      </c>
    </row>
    <row r="18" spans="1:4" x14ac:dyDescent="0.45">
      <c r="A18" t="s">
        <v>252</v>
      </c>
      <c r="B18" s="4">
        <v>46211.530846793998</v>
      </c>
      <c r="C18">
        <v>60</v>
      </c>
      <c r="D18">
        <v>18</v>
      </c>
    </row>
    <row r="19" spans="1:4" x14ac:dyDescent="0.45">
      <c r="A19" t="s">
        <v>253</v>
      </c>
      <c r="B19" s="4">
        <v>46211.530846793998</v>
      </c>
      <c r="C19">
        <v>74</v>
      </c>
      <c r="D19">
        <v>17</v>
      </c>
    </row>
    <row r="20" spans="1:4" x14ac:dyDescent="0.45">
      <c r="A20" t="s">
        <v>254</v>
      </c>
      <c r="B20" s="4">
        <v>46211.530846886599</v>
      </c>
      <c r="C20">
        <v>11</v>
      </c>
      <c r="D20">
        <v>2</v>
      </c>
    </row>
    <row r="21" spans="1:4" x14ac:dyDescent="0.45">
      <c r="A21" t="s">
        <v>255</v>
      </c>
      <c r="B21" s="4">
        <v>46211.530846886599</v>
      </c>
      <c r="C21">
        <v>10</v>
      </c>
      <c r="D21">
        <v>2</v>
      </c>
    </row>
    <row r="22" spans="1:4" x14ac:dyDescent="0.45">
      <c r="A22" t="s">
        <v>256</v>
      </c>
      <c r="B22" s="4">
        <v>46211.530846898102</v>
      </c>
      <c r="C22">
        <v>7</v>
      </c>
      <c r="D22">
        <v>2</v>
      </c>
    </row>
    <row r="23" spans="1:4" x14ac:dyDescent="0.45">
      <c r="A23" t="s">
        <v>257</v>
      </c>
      <c r="B23" s="4">
        <v>46211.530846967602</v>
      </c>
      <c r="C23">
        <v>2</v>
      </c>
      <c r="D23">
        <v>1</v>
      </c>
    </row>
    <row r="24" spans="1:4" x14ac:dyDescent="0.45">
      <c r="A24" t="s">
        <v>258</v>
      </c>
      <c r="B24" s="4">
        <v>46211.5308469792</v>
      </c>
      <c r="C24">
        <v>1</v>
      </c>
      <c r="D24">
        <v>1</v>
      </c>
    </row>
    <row r="25" spans="1:4" x14ac:dyDescent="0.45">
      <c r="A25" t="s">
        <v>259</v>
      </c>
      <c r="B25" s="4">
        <v>46211.530847800903</v>
      </c>
      <c r="C25">
        <v>7</v>
      </c>
      <c r="D25">
        <v>2</v>
      </c>
    </row>
    <row r="26" spans="1:4" x14ac:dyDescent="0.45">
      <c r="A26" t="s">
        <v>260</v>
      </c>
      <c r="B26" s="4">
        <v>46211.530848449103</v>
      </c>
      <c r="C26">
        <v>10</v>
      </c>
      <c r="D26">
        <v>1</v>
      </c>
    </row>
    <row r="27" spans="1:4" x14ac:dyDescent="0.45">
      <c r="A27" t="s">
        <v>261</v>
      </c>
      <c r="B27" s="4">
        <v>46211.530848460701</v>
      </c>
      <c r="C27">
        <v>3</v>
      </c>
      <c r="D27">
        <v>1</v>
      </c>
    </row>
    <row r="28" spans="1:4" x14ac:dyDescent="0.45">
      <c r="A28" t="s">
        <v>262</v>
      </c>
      <c r="B28" s="4">
        <v>46212.3976562963</v>
      </c>
      <c r="C28">
        <v>116</v>
      </c>
      <c r="D28">
        <v>2</v>
      </c>
    </row>
    <row r="29" spans="1:4" x14ac:dyDescent="0.45">
      <c r="A29" t="s">
        <v>263</v>
      </c>
      <c r="B29" s="4">
        <v>46212.397656446803</v>
      </c>
      <c r="C29">
        <v>29</v>
      </c>
      <c r="D29">
        <v>1</v>
      </c>
    </row>
    <row r="30" spans="1:4" x14ac:dyDescent="0.45">
      <c r="A30" t="s">
        <v>264</v>
      </c>
      <c r="B30" s="4">
        <v>46212.397658564798</v>
      </c>
      <c r="C30">
        <v>29</v>
      </c>
      <c r="D30">
        <v>1</v>
      </c>
    </row>
    <row r="31" spans="1:4" x14ac:dyDescent="0.45">
      <c r="A31" t="s">
        <v>265</v>
      </c>
      <c r="B31" s="4">
        <v>46212.397660127303</v>
      </c>
      <c r="C31">
        <v>485</v>
      </c>
      <c r="D31">
        <v>15</v>
      </c>
    </row>
    <row r="32" spans="1:4" x14ac:dyDescent="0.45">
      <c r="A32" t="s">
        <v>266</v>
      </c>
      <c r="B32" s="4">
        <v>46212.397660115697</v>
      </c>
      <c r="C32">
        <v>712</v>
      </c>
      <c r="D32">
        <v>15</v>
      </c>
    </row>
    <row r="33" spans="1:4" x14ac:dyDescent="0.45">
      <c r="A33" t="s">
        <v>267</v>
      </c>
      <c r="B33" s="4">
        <v>46212.3976600694</v>
      </c>
      <c r="C33">
        <v>485</v>
      </c>
      <c r="D33">
        <v>15</v>
      </c>
    </row>
    <row r="34" spans="1:4" x14ac:dyDescent="0.45">
      <c r="A34" t="s">
        <v>268</v>
      </c>
      <c r="B34" s="4">
        <v>46212.397672430598</v>
      </c>
      <c r="C34">
        <v>42</v>
      </c>
      <c r="D34">
        <v>1</v>
      </c>
    </row>
    <row r="35" spans="1:4" x14ac:dyDescent="0.45">
      <c r="A35" t="s">
        <v>269</v>
      </c>
      <c r="B35" s="4">
        <v>46212.397673321801</v>
      </c>
      <c r="C35">
        <v>42</v>
      </c>
      <c r="D35">
        <v>1</v>
      </c>
    </row>
    <row r="36" spans="1:4" x14ac:dyDescent="0.45">
      <c r="A36" t="s">
        <v>270</v>
      </c>
      <c r="B36" s="4">
        <v>46212.3976608218</v>
      </c>
      <c r="C36">
        <v>722</v>
      </c>
      <c r="D36">
        <v>15</v>
      </c>
    </row>
    <row r="37" spans="1:4" x14ac:dyDescent="0.45">
      <c r="A37" t="s">
        <v>271</v>
      </c>
      <c r="B37" s="4">
        <v>46212.397660289404</v>
      </c>
      <c r="C37">
        <v>43</v>
      </c>
      <c r="D37">
        <v>2</v>
      </c>
    </row>
    <row r="38" spans="1:4" x14ac:dyDescent="0.45">
      <c r="A38" t="s">
        <v>272</v>
      </c>
      <c r="B38" s="4">
        <v>46212.3976564236</v>
      </c>
      <c r="C38">
        <v>87</v>
      </c>
      <c r="D38">
        <v>1</v>
      </c>
    </row>
  </sheetData>
  <hyperlinks>
    <hyperlink ref="A1" location="Карта!B3" display="[Перейти в карту выгрузки]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ColWidth="9.06640625" defaultRowHeight="14.25" x14ac:dyDescent="0.45"/>
  <cols>
    <col min="1" max="1" width="46.53125" customWidth="1"/>
    <col min="2" max="2" width="14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273</v>
      </c>
      <c r="B3" s="4">
        <v>46212.397655960602</v>
      </c>
      <c r="C3">
        <v>3198</v>
      </c>
      <c r="D3">
        <v>123</v>
      </c>
    </row>
    <row r="4" spans="1:7" x14ac:dyDescent="0.45">
      <c r="A4" t="s">
        <v>274</v>
      </c>
      <c r="B4" s="4">
        <v>46212.397655960602</v>
      </c>
      <c r="C4">
        <v>3198</v>
      </c>
      <c r="D4">
        <v>123</v>
      </c>
    </row>
    <row r="5" spans="1:7" x14ac:dyDescent="0.45">
      <c r="A5" t="s">
        <v>275</v>
      </c>
      <c r="B5" s="4">
        <v>46212.397660023104</v>
      </c>
      <c r="C5">
        <v>1171</v>
      </c>
      <c r="D5">
        <v>48</v>
      </c>
    </row>
    <row r="6" spans="1:7" x14ac:dyDescent="0.45">
      <c r="A6" t="s">
        <v>276</v>
      </c>
      <c r="B6" s="4">
        <v>46212.397660080998</v>
      </c>
      <c r="C6">
        <v>1171</v>
      </c>
      <c r="D6">
        <v>48</v>
      </c>
    </row>
    <row r="7" spans="1:7" x14ac:dyDescent="0.45">
      <c r="A7" t="s">
        <v>277</v>
      </c>
      <c r="B7" s="4">
        <v>46212.397660127303</v>
      </c>
      <c r="C7">
        <v>1171</v>
      </c>
      <c r="D7">
        <v>48</v>
      </c>
    </row>
    <row r="8" spans="1:7" x14ac:dyDescent="0.45">
      <c r="A8" t="s">
        <v>278</v>
      </c>
      <c r="B8" s="4">
        <v>46212.397660057897</v>
      </c>
      <c r="C8">
        <v>298</v>
      </c>
      <c r="D8">
        <v>22</v>
      </c>
    </row>
    <row r="9" spans="1:7" x14ac:dyDescent="0.45">
      <c r="A9" t="s">
        <v>279</v>
      </c>
      <c r="B9" s="4">
        <v>46212.397660127303</v>
      </c>
      <c r="C9">
        <v>298</v>
      </c>
      <c r="D9">
        <v>22</v>
      </c>
    </row>
    <row r="10" spans="1:7" x14ac:dyDescent="0.45">
      <c r="A10" t="s">
        <v>280</v>
      </c>
      <c r="B10" s="4">
        <v>46212.397660185197</v>
      </c>
      <c r="C10">
        <v>298</v>
      </c>
      <c r="D10">
        <v>22</v>
      </c>
    </row>
    <row r="11" spans="1:7" x14ac:dyDescent="0.45">
      <c r="A11" t="s">
        <v>281</v>
      </c>
      <c r="B11" s="4">
        <v>46212.397660254603</v>
      </c>
      <c r="C11">
        <v>298</v>
      </c>
      <c r="D11">
        <v>22</v>
      </c>
    </row>
    <row r="12" spans="1:7" x14ac:dyDescent="0.45">
      <c r="A12" t="s">
        <v>282</v>
      </c>
      <c r="B12" s="4">
        <v>46212.397656226902</v>
      </c>
      <c r="C12">
        <v>36</v>
      </c>
      <c r="D12">
        <v>5</v>
      </c>
    </row>
    <row r="13" spans="1:7" x14ac:dyDescent="0.45">
      <c r="A13" t="s">
        <v>283</v>
      </c>
      <c r="B13" s="4">
        <v>46212.3976584259</v>
      </c>
      <c r="C13">
        <v>36</v>
      </c>
      <c r="D13">
        <v>5</v>
      </c>
    </row>
    <row r="14" spans="1:7" x14ac:dyDescent="0.45">
      <c r="A14" t="s">
        <v>284</v>
      </c>
      <c r="B14" s="4">
        <v>46212.397660162002</v>
      </c>
      <c r="C14">
        <v>15</v>
      </c>
      <c r="D14">
        <v>5</v>
      </c>
    </row>
    <row r="15" spans="1:7" x14ac:dyDescent="0.45">
      <c r="A15" t="s">
        <v>285</v>
      </c>
      <c r="B15" s="4">
        <v>46212.397660173599</v>
      </c>
      <c r="C15">
        <v>6</v>
      </c>
      <c r="D15">
        <v>4</v>
      </c>
    </row>
    <row r="16" spans="1:7" x14ac:dyDescent="0.45">
      <c r="A16" t="s">
        <v>286</v>
      </c>
      <c r="B16" s="4">
        <v>46212.397665115699</v>
      </c>
      <c r="C16">
        <v>6</v>
      </c>
      <c r="D16">
        <v>4</v>
      </c>
    </row>
    <row r="17" spans="1:4" x14ac:dyDescent="0.45">
      <c r="A17" t="s">
        <v>287</v>
      </c>
      <c r="B17" s="4">
        <v>46212.397660451403</v>
      </c>
      <c r="C17">
        <v>16</v>
      </c>
      <c r="D17">
        <v>1</v>
      </c>
    </row>
    <row r="18" spans="1:4" x14ac:dyDescent="0.45">
      <c r="A18" t="s">
        <v>288</v>
      </c>
      <c r="B18" s="4">
        <v>46212.397667037003</v>
      </c>
      <c r="C18">
        <v>5</v>
      </c>
      <c r="D18">
        <v>1</v>
      </c>
    </row>
    <row r="19" spans="1:4" x14ac:dyDescent="0.45">
      <c r="A19" t="s">
        <v>289</v>
      </c>
      <c r="B19" s="4">
        <v>46212.397656122703</v>
      </c>
      <c r="C19">
        <v>118</v>
      </c>
      <c r="D19">
        <v>7</v>
      </c>
    </row>
    <row r="20" spans="1:4" x14ac:dyDescent="0.45">
      <c r="A20" t="s">
        <v>290</v>
      </c>
      <c r="B20" s="4">
        <v>46212.397656145797</v>
      </c>
      <c r="C20">
        <v>51</v>
      </c>
      <c r="D20">
        <v>7</v>
      </c>
    </row>
    <row r="21" spans="1:4" x14ac:dyDescent="0.45">
      <c r="A21" t="s">
        <v>291</v>
      </c>
      <c r="B21" s="4">
        <v>46212.397657499998</v>
      </c>
      <c r="C21">
        <v>141</v>
      </c>
      <c r="D21">
        <v>7</v>
      </c>
    </row>
  </sheetData>
  <hyperlinks>
    <hyperlink ref="A1" location="Карта!B4" display="[Перейти в карту выгрузки]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workbookViewId="0"/>
  </sheetViews>
  <sheetFormatPr defaultColWidth="9.06640625" defaultRowHeight="14.25" x14ac:dyDescent="0.45"/>
  <cols>
    <col min="1" max="1" width="41.13281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4</v>
      </c>
      <c r="B3" s="4">
        <v>46210.464453923603</v>
      </c>
      <c r="C3">
        <v>28575</v>
      </c>
      <c r="D3">
        <v>436</v>
      </c>
      <c r="E3">
        <v>931000</v>
      </c>
      <c r="F3">
        <v>0</v>
      </c>
      <c r="G3">
        <v>10</v>
      </c>
    </row>
    <row r="4" spans="1:7" x14ac:dyDescent="0.45">
      <c r="A4" t="s">
        <v>292</v>
      </c>
      <c r="B4" s="4">
        <v>46211.494034710602</v>
      </c>
      <c r="C4">
        <v>5320</v>
      </c>
      <c r="D4">
        <v>110</v>
      </c>
    </row>
    <row r="5" spans="1:7" x14ac:dyDescent="0.45">
      <c r="A5" t="s">
        <v>293</v>
      </c>
      <c r="B5" s="4">
        <v>46211.4940347222</v>
      </c>
      <c r="C5">
        <v>517</v>
      </c>
      <c r="D5">
        <v>263</v>
      </c>
    </row>
    <row r="6" spans="1:7" x14ac:dyDescent="0.45">
      <c r="A6" t="s">
        <v>294</v>
      </c>
      <c r="B6" s="4">
        <v>46211.4940347222</v>
      </c>
      <c r="C6">
        <v>5320</v>
      </c>
      <c r="D6">
        <v>110</v>
      </c>
    </row>
    <row r="7" spans="1:7" x14ac:dyDescent="0.45">
      <c r="A7" t="s">
        <v>295</v>
      </c>
      <c r="B7" s="4">
        <v>46211.4940347222</v>
      </c>
      <c r="C7">
        <v>517</v>
      </c>
      <c r="D7">
        <v>263</v>
      </c>
    </row>
    <row r="8" spans="1:7" x14ac:dyDescent="0.45">
      <c r="A8" t="s">
        <v>296</v>
      </c>
      <c r="B8" s="4">
        <v>46211.494034780102</v>
      </c>
      <c r="C8">
        <v>114</v>
      </c>
      <c r="D8">
        <v>28</v>
      </c>
    </row>
    <row r="9" spans="1:7" x14ac:dyDescent="0.45">
      <c r="A9" t="s">
        <v>297</v>
      </c>
      <c r="B9" s="4">
        <v>46211.4940347917</v>
      </c>
      <c r="C9">
        <v>114</v>
      </c>
      <c r="D9">
        <v>28</v>
      </c>
    </row>
    <row r="10" spans="1:7" x14ac:dyDescent="0.45">
      <c r="A10" t="s">
        <v>298</v>
      </c>
      <c r="B10" s="4">
        <v>46211.494034803203</v>
      </c>
      <c r="C10">
        <v>42</v>
      </c>
      <c r="D10">
        <v>20</v>
      </c>
    </row>
    <row r="11" spans="1:7" x14ac:dyDescent="0.45">
      <c r="A11" t="s">
        <v>299</v>
      </c>
      <c r="B11" s="4">
        <v>46211.494034814801</v>
      </c>
      <c r="C11">
        <v>42</v>
      </c>
      <c r="D11">
        <v>20</v>
      </c>
    </row>
    <row r="12" spans="1:7" x14ac:dyDescent="0.45">
      <c r="A12" t="s">
        <v>300</v>
      </c>
      <c r="B12" s="4">
        <v>46211.494034837997</v>
      </c>
      <c r="C12">
        <v>519</v>
      </c>
      <c r="D12">
        <v>17</v>
      </c>
    </row>
    <row r="13" spans="1:7" x14ac:dyDescent="0.45">
      <c r="A13" t="s">
        <v>301</v>
      </c>
      <c r="B13" s="4">
        <v>46211.494034884301</v>
      </c>
      <c r="C13">
        <v>494</v>
      </c>
      <c r="D13">
        <v>13</v>
      </c>
    </row>
    <row r="14" spans="1:7" x14ac:dyDescent="0.45">
      <c r="A14" t="s">
        <v>302</v>
      </c>
      <c r="B14" s="4">
        <v>46211.494034895797</v>
      </c>
      <c r="C14">
        <v>396</v>
      </c>
      <c r="D14">
        <v>12</v>
      </c>
    </row>
    <row r="15" spans="1:7" x14ac:dyDescent="0.45">
      <c r="A15" t="s">
        <v>303</v>
      </c>
      <c r="B15" s="4">
        <v>46211.494034919</v>
      </c>
      <c r="C15">
        <v>148</v>
      </c>
      <c r="D15">
        <v>11</v>
      </c>
    </row>
    <row r="16" spans="1:7" x14ac:dyDescent="0.45">
      <c r="A16" t="s">
        <v>304</v>
      </c>
      <c r="B16" s="4">
        <v>46211.494034942101</v>
      </c>
      <c r="C16">
        <v>256</v>
      </c>
      <c r="D16">
        <v>9</v>
      </c>
    </row>
    <row r="17" spans="1:4" x14ac:dyDescent="0.45">
      <c r="A17" t="s">
        <v>305</v>
      </c>
      <c r="B17" s="4">
        <v>46211.494035069401</v>
      </c>
      <c r="C17">
        <v>23</v>
      </c>
      <c r="D17">
        <v>4</v>
      </c>
    </row>
    <row r="18" spans="1:4" x14ac:dyDescent="0.45">
      <c r="A18" t="s">
        <v>306</v>
      </c>
      <c r="B18" s="4">
        <v>46211.494035080999</v>
      </c>
      <c r="C18">
        <v>80</v>
      </c>
      <c r="D18">
        <v>4</v>
      </c>
    </row>
    <row r="19" spans="1:4" x14ac:dyDescent="0.45">
      <c r="A19" t="s">
        <v>307</v>
      </c>
      <c r="B19" s="4">
        <v>46211.494035104202</v>
      </c>
      <c r="C19">
        <v>85</v>
      </c>
      <c r="D19">
        <v>3</v>
      </c>
    </row>
    <row r="20" spans="1:4" x14ac:dyDescent="0.45">
      <c r="A20" t="s">
        <v>308</v>
      </c>
      <c r="B20" s="4">
        <v>46211.494035115698</v>
      </c>
      <c r="C20">
        <v>18</v>
      </c>
      <c r="D20">
        <v>3</v>
      </c>
    </row>
    <row r="21" spans="1:4" x14ac:dyDescent="0.45">
      <c r="A21" t="s">
        <v>309</v>
      </c>
      <c r="B21" s="4">
        <v>46211.494035162003</v>
      </c>
      <c r="C21">
        <v>129</v>
      </c>
      <c r="D21">
        <v>6</v>
      </c>
    </row>
    <row r="22" spans="1:4" x14ac:dyDescent="0.45">
      <c r="A22" t="s">
        <v>310</v>
      </c>
      <c r="B22" s="4">
        <v>46211.494035196803</v>
      </c>
      <c r="C22">
        <v>138</v>
      </c>
      <c r="D22">
        <v>7</v>
      </c>
    </row>
    <row r="23" spans="1:4" x14ac:dyDescent="0.45">
      <c r="A23" t="s">
        <v>311</v>
      </c>
      <c r="B23" s="4">
        <v>46211.4940352431</v>
      </c>
      <c r="C23">
        <v>129</v>
      </c>
      <c r="D23">
        <v>6</v>
      </c>
    </row>
    <row r="24" spans="1:4" x14ac:dyDescent="0.45">
      <c r="A24" t="s">
        <v>312</v>
      </c>
      <c r="B24" s="4">
        <v>46211.494035555603</v>
      </c>
      <c r="C24">
        <v>23</v>
      </c>
      <c r="D24">
        <v>13</v>
      </c>
    </row>
    <row r="25" spans="1:4" x14ac:dyDescent="0.45">
      <c r="A25" t="s">
        <v>313</v>
      </c>
      <c r="B25" s="4">
        <v>46211.494035555603</v>
      </c>
      <c r="C25">
        <v>23</v>
      </c>
      <c r="D25">
        <v>13</v>
      </c>
    </row>
    <row r="26" spans="1:4" x14ac:dyDescent="0.45">
      <c r="A26" t="s">
        <v>314</v>
      </c>
      <c r="B26" s="4">
        <v>46211.4940356597</v>
      </c>
      <c r="C26">
        <v>103</v>
      </c>
      <c r="D26">
        <v>18</v>
      </c>
    </row>
    <row r="27" spans="1:4" x14ac:dyDescent="0.45">
      <c r="A27" t="s">
        <v>315</v>
      </c>
      <c r="B27" s="4">
        <v>46211.494035694399</v>
      </c>
      <c r="C27">
        <v>306</v>
      </c>
      <c r="D27">
        <v>11</v>
      </c>
    </row>
    <row r="28" spans="1:4" x14ac:dyDescent="0.45">
      <c r="A28" t="s">
        <v>316</v>
      </c>
      <c r="B28" s="4">
        <v>46211.494035821801</v>
      </c>
      <c r="C28">
        <v>11</v>
      </c>
      <c r="D28">
        <v>5</v>
      </c>
    </row>
    <row r="29" spans="1:4" x14ac:dyDescent="0.45">
      <c r="A29" t="s">
        <v>317</v>
      </c>
      <c r="B29" s="4">
        <v>46211.494035960597</v>
      </c>
      <c r="C29">
        <v>10</v>
      </c>
      <c r="D29">
        <v>3</v>
      </c>
    </row>
    <row r="30" spans="1:4" x14ac:dyDescent="0.45">
      <c r="A30" t="s">
        <v>318</v>
      </c>
      <c r="B30" s="4">
        <v>46211.494036018499</v>
      </c>
      <c r="C30">
        <v>262</v>
      </c>
      <c r="D30">
        <v>7</v>
      </c>
    </row>
    <row r="31" spans="1:4" x14ac:dyDescent="0.45">
      <c r="A31" t="s">
        <v>319</v>
      </c>
      <c r="B31" s="4">
        <v>46211.4940361111</v>
      </c>
      <c r="C31">
        <v>264</v>
      </c>
      <c r="D31">
        <v>5</v>
      </c>
    </row>
    <row r="32" spans="1:4" x14ac:dyDescent="0.45">
      <c r="A32" t="s">
        <v>320</v>
      </c>
      <c r="B32" s="4">
        <v>46211.4940361111</v>
      </c>
      <c r="C32">
        <v>262</v>
      </c>
      <c r="D32">
        <v>7</v>
      </c>
    </row>
    <row r="33" spans="1:4" x14ac:dyDescent="0.45">
      <c r="A33" t="s">
        <v>321</v>
      </c>
      <c r="B33" s="4">
        <v>46211.4940361111</v>
      </c>
      <c r="C33">
        <v>167</v>
      </c>
      <c r="D33">
        <v>4</v>
      </c>
    </row>
    <row r="34" spans="1:4" x14ac:dyDescent="0.45">
      <c r="A34" t="s">
        <v>322</v>
      </c>
      <c r="B34" s="4">
        <v>46211.494036122698</v>
      </c>
      <c r="C34">
        <v>158</v>
      </c>
      <c r="D34">
        <v>4</v>
      </c>
    </row>
    <row r="35" spans="1:4" x14ac:dyDescent="0.45">
      <c r="A35" t="s">
        <v>323</v>
      </c>
      <c r="B35" s="4">
        <v>46211.494036169002</v>
      </c>
      <c r="C35">
        <v>100</v>
      </c>
      <c r="D35">
        <v>18</v>
      </c>
    </row>
    <row r="36" spans="1:4" x14ac:dyDescent="0.45">
      <c r="A36" t="s">
        <v>324</v>
      </c>
      <c r="B36" s="4">
        <v>46211.494036388904</v>
      </c>
      <c r="C36">
        <v>11</v>
      </c>
      <c r="D36">
        <v>5</v>
      </c>
    </row>
    <row r="37" spans="1:4" x14ac:dyDescent="0.45">
      <c r="A37" t="s">
        <v>325</v>
      </c>
      <c r="B37" s="4">
        <v>46211.494036539298</v>
      </c>
      <c r="C37">
        <v>15</v>
      </c>
      <c r="D37">
        <v>7</v>
      </c>
    </row>
  </sheetData>
  <hyperlinks>
    <hyperlink ref="A1" location="Карта!B5" display="[Перейти в карту выгрузки]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/>
  </sheetViews>
  <sheetFormatPr defaultColWidth="9.06640625" defaultRowHeight="14.25" x14ac:dyDescent="0.45"/>
  <cols>
    <col min="1" max="1" width="60.464843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5</v>
      </c>
      <c r="B3" s="4">
        <v>46210.464453935201</v>
      </c>
      <c r="C3">
        <v>2369</v>
      </c>
      <c r="D3">
        <v>28</v>
      </c>
      <c r="E3">
        <v>944000</v>
      </c>
      <c r="F3">
        <v>0</v>
      </c>
      <c r="G3">
        <v>10</v>
      </c>
    </row>
    <row r="4" spans="1:7" x14ac:dyDescent="0.45">
      <c r="A4" t="s">
        <v>326</v>
      </c>
      <c r="B4" s="4">
        <v>46211.547965254598</v>
      </c>
      <c r="C4">
        <v>35</v>
      </c>
      <c r="D4">
        <v>4</v>
      </c>
    </row>
    <row r="5" spans="1:7" x14ac:dyDescent="0.45">
      <c r="A5" t="s">
        <v>327</v>
      </c>
      <c r="B5" s="4">
        <v>46211.547965266203</v>
      </c>
      <c r="C5">
        <v>44</v>
      </c>
      <c r="D5">
        <v>4</v>
      </c>
    </row>
    <row r="6" spans="1:7" x14ac:dyDescent="0.45">
      <c r="A6" t="s">
        <v>328</v>
      </c>
      <c r="B6" s="4">
        <v>46211.547965266203</v>
      </c>
      <c r="C6">
        <v>122</v>
      </c>
      <c r="D6">
        <v>5</v>
      </c>
    </row>
    <row r="7" spans="1:7" x14ac:dyDescent="0.45">
      <c r="A7" t="s">
        <v>329</v>
      </c>
      <c r="B7" s="4">
        <v>46211.547965277801</v>
      </c>
      <c r="C7">
        <v>35</v>
      </c>
      <c r="D7">
        <v>4</v>
      </c>
    </row>
    <row r="8" spans="1:7" x14ac:dyDescent="0.45">
      <c r="A8" t="s">
        <v>330</v>
      </c>
      <c r="B8" s="4">
        <v>46211.547965289399</v>
      </c>
      <c r="C8">
        <v>43</v>
      </c>
      <c r="D8">
        <v>4</v>
      </c>
    </row>
    <row r="9" spans="1:7" x14ac:dyDescent="0.45">
      <c r="A9" t="s">
        <v>331</v>
      </c>
      <c r="B9" s="4">
        <v>46211.547965300902</v>
      </c>
      <c r="C9">
        <v>28</v>
      </c>
      <c r="D9">
        <v>3</v>
      </c>
    </row>
    <row r="10" spans="1:7" x14ac:dyDescent="0.45">
      <c r="A10" t="s">
        <v>332</v>
      </c>
      <c r="B10" s="4">
        <v>46211.547965300902</v>
      </c>
      <c r="C10">
        <v>7</v>
      </c>
      <c r="D10">
        <v>2</v>
      </c>
    </row>
    <row r="11" spans="1:7" x14ac:dyDescent="0.45">
      <c r="A11" t="s">
        <v>333</v>
      </c>
      <c r="B11" s="4">
        <v>46211.5479653125</v>
      </c>
      <c r="C11">
        <v>10</v>
      </c>
      <c r="D11">
        <v>3</v>
      </c>
    </row>
    <row r="12" spans="1:7" x14ac:dyDescent="0.45">
      <c r="A12" t="s">
        <v>334</v>
      </c>
      <c r="B12" s="4">
        <v>46211.5479653125</v>
      </c>
      <c r="C12">
        <v>16</v>
      </c>
      <c r="D12">
        <v>3</v>
      </c>
    </row>
    <row r="13" spans="1:7" x14ac:dyDescent="0.45">
      <c r="A13" t="s">
        <v>335</v>
      </c>
      <c r="B13" s="4">
        <v>46211.5479653125</v>
      </c>
      <c r="C13">
        <v>9</v>
      </c>
      <c r="D13">
        <v>3</v>
      </c>
    </row>
    <row r="14" spans="1:7" x14ac:dyDescent="0.45">
      <c r="A14" t="s">
        <v>336</v>
      </c>
      <c r="B14" s="4">
        <v>46211.547965324098</v>
      </c>
      <c r="C14">
        <v>58</v>
      </c>
      <c r="D14">
        <v>1</v>
      </c>
    </row>
    <row r="15" spans="1:7" x14ac:dyDescent="0.45">
      <c r="A15" t="s">
        <v>337</v>
      </c>
      <c r="B15" s="4">
        <v>46211.547965324098</v>
      </c>
      <c r="C15">
        <v>13</v>
      </c>
      <c r="D15">
        <v>1</v>
      </c>
    </row>
    <row r="16" spans="1:7" x14ac:dyDescent="0.45">
      <c r="A16" t="s">
        <v>338</v>
      </c>
      <c r="B16" s="4">
        <v>46211.547965347199</v>
      </c>
      <c r="C16">
        <v>4</v>
      </c>
      <c r="D16">
        <v>1</v>
      </c>
    </row>
    <row r="17" spans="1:4" x14ac:dyDescent="0.45">
      <c r="A17" t="s">
        <v>339</v>
      </c>
      <c r="B17" s="4">
        <v>46211.547965347199</v>
      </c>
      <c r="C17">
        <v>55</v>
      </c>
      <c r="D17">
        <v>1</v>
      </c>
    </row>
    <row r="18" spans="1:4" x14ac:dyDescent="0.45">
      <c r="A18" t="s">
        <v>340</v>
      </c>
      <c r="B18" s="4">
        <v>46211.547965682897</v>
      </c>
      <c r="C18">
        <v>4</v>
      </c>
      <c r="D18">
        <v>1</v>
      </c>
    </row>
    <row r="19" spans="1:4" x14ac:dyDescent="0.45">
      <c r="A19" t="s">
        <v>341</v>
      </c>
      <c r="B19" s="4">
        <v>46211.547965717597</v>
      </c>
      <c r="C19">
        <v>8</v>
      </c>
      <c r="D19">
        <v>3</v>
      </c>
    </row>
    <row r="20" spans="1:4" x14ac:dyDescent="0.45">
      <c r="A20" t="s">
        <v>342</v>
      </c>
      <c r="B20" s="4">
        <v>46211.547965740698</v>
      </c>
      <c r="C20">
        <v>1</v>
      </c>
      <c r="D20">
        <v>1</v>
      </c>
    </row>
  </sheetData>
  <hyperlinks>
    <hyperlink ref="A1" location="Карта!B6" display="[Перейти в карту выгрузки]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defaultColWidth="9.06640625" defaultRowHeight="14.25" x14ac:dyDescent="0.45"/>
  <cols>
    <col min="1" max="1" width="39.59765625" customWidth="1"/>
    <col min="2" max="2" width="14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343</v>
      </c>
      <c r="B3" s="4">
        <v>46212.3976560417</v>
      </c>
      <c r="C3">
        <v>168</v>
      </c>
      <c r="D3">
        <v>20</v>
      </c>
    </row>
    <row r="4" spans="1:7" x14ac:dyDescent="0.45">
      <c r="A4" t="s">
        <v>344</v>
      </c>
      <c r="B4" s="4">
        <v>46212.3976560417</v>
      </c>
      <c r="C4">
        <v>157</v>
      </c>
      <c r="D4">
        <v>20</v>
      </c>
    </row>
    <row r="5" spans="1:7" x14ac:dyDescent="0.45">
      <c r="A5" t="s">
        <v>345</v>
      </c>
      <c r="B5" s="4">
        <v>46212.397668368103</v>
      </c>
      <c r="C5">
        <v>64</v>
      </c>
      <c r="D5">
        <v>2</v>
      </c>
    </row>
    <row r="6" spans="1:7" x14ac:dyDescent="0.45">
      <c r="A6" t="s">
        <v>346</v>
      </c>
      <c r="B6" s="4">
        <v>46212.397667002297</v>
      </c>
      <c r="C6">
        <v>48</v>
      </c>
      <c r="D6">
        <v>1</v>
      </c>
    </row>
    <row r="7" spans="1:7" x14ac:dyDescent="0.45">
      <c r="A7" t="s">
        <v>347</v>
      </c>
      <c r="B7" s="4">
        <v>46212.397656030102</v>
      </c>
      <c r="C7">
        <v>785</v>
      </c>
      <c r="D7">
        <v>18</v>
      </c>
    </row>
    <row r="8" spans="1:7" x14ac:dyDescent="0.45">
      <c r="A8" t="s">
        <v>348</v>
      </c>
      <c r="B8" s="4">
        <v>46212.397656030102</v>
      </c>
      <c r="C8">
        <v>785</v>
      </c>
      <c r="D8">
        <v>18</v>
      </c>
    </row>
  </sheetData>
  <hyperlinks>
    <hyperlink ref="A1" location="Карта!B7" display="[Перейти в карту выгрузки]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/>
  </sheetViews>
  <sheetFormatPr defaultColWidth="9.06640625" defaultRowHeight="14.25" x14ac:dyDescent="0.45"/>
  <cols>
    <col min="1" max="1" width="40.66406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7</v>
      </c>
      <c r="B3" s="4">
        <v>46210.464453935201</v>
      </c>
      <c r="C3">
        <v>2183</v>
      </c>
      <c r="D3">
        <v>116</v>
      </c>
      <c r="E3">
        <v>5000000</v>
      </c>
      <c r="F3">
        <v>0</v>
      </c>
      <c r="G3">
        <v>11</v>
      </c>
    </row>
    <row r="4" spans="1:7" x14ac:dyDescent="0.45">
      <c r="A4" t="s">
        <v>349</v>
      </c>
      <c r="B4" s="4">
        <v>46211.552052326399</v>
      </c>
      <c r="C4">
        <v>10</v>
      </c>
      <c r="D4">
        <v>6</v>
      </c>
    </row>
    <row r="5" spans="1:7" x14ac:dyDescent="0.45">
      <c r="A5" t="s">
        <v>350</v>
      </c>
      <c r="B5" s="4">
        <v>46211.552052337996</v>
      </c>
      <c r="C5">
        <v>16</v>
      </c>
      <c r="D5">
        <v>6</v>
      </c>
    </row>
    <row r="6" spans="1:7" x14ac:dyDescent="0.45">
      <c r="A6" t="s">
        <v>351</v>
      </c>
      <c r="B6" s="4">
        <v>46211.552052337996</v>
      </c>
      <c r="C6">
        <v>15</v>
      </c>
      <c r="D6">
        <v>6</v>
      </c>
    </row>
    <row r="7" spans="1:7" x14ac:dyDescent="0.45">
      <c r="A7" t="s">
        <v>352</v>
      </c>
      <c r="B7" s="4">
        <v>46211.5520523495</v>
      </c>
      <c r="C7">
        <v>73</v>
      </c>
      <c r="D7">
        <v>12</v>
      </c>
    </row>
    <row r="8" spans="1:7" x14ac:dyDescent="0.45">
      <c r="A8" t="s">
        <v>353</v>
      </c>
      <c r="B8" s="4">
        <v>46211.5520523495</v>
      </c>
      <c r="C8">
        <v>33</v>
      </c>
      <c r="D8">
        <v>5</v>
      </c>
    </row>
    <row r="9" spans="1:7" x14ac:dyDescent="0.45">
      <c r="A9" t="s">
        <v>354</v>
      </c>
      <c r="B9" s="4">
        <v>46211.5520523495</v>
      </c>
      <c r="C9">
        <v>219</v>
      </c>
      <c r="D9">
        <v>182</v>
      </c>
    </row>
    <row r="10" spans="1:7" x14ac:dyDescent="0.45">
      <c r="A10" t="s">
        <v>355</v>
      </c>
      <c r="B10" s="4">
        <v>46211.5520523495</v>
      </c>
      <c r="C10">
        <v>124</v>
      </c>
      <c r="D10">
        <v>4</v>
      </c>
    </row>
    <row r="11" spans="1:7" x14ac:dyDescent="0.45">
      <c r="A11" t="s">
        <v>356</v>
      </c>
      <c r="B11" s="4">
        <v>46211.552052361098</v>
      </c>
      <c r="C11">
        <v>2</v>
      </c>
      <c r="D11">
        <v>2</v>
      </c>
    </row>
    <row r="12" spans="1:7" x14ac:dyDescent="0.45">
      <c r="A12" t="s">
        <v>357</v>
      </c>
      <c r="B12" s="4">
        <v>46211.552052361098</v>
      </c>
      <c r="C12">
        <v>30</v>
      </c>
      <c r="D12">
        <v>1</v>
      </c>
    </row>
    <row r="13" spans="1:7" x14ac:dyDescent="0.45">
      <c r="A13" t="s">
        <v>358</v>
      </c>
      <c r="B13" s="4">
        <v>46211.552052361098</v>
      </c>
      <c r="C13">
        <v>48</v>
      </c>
      <c r="D13">
        <v>4</v>
      </c>
    </row>
    <row r="14" spans="1:7" x14ac:dyDescent="0.45">
      <c r="A14" t="s">
        <v>359</v>
      </c>
      <c r="B14" s="4">
        <v>46211.552052372703</v>
      </c>
      <c r="C14">
        <v>5</v>
      </c>
      <c r="D14">
        <v>3</v>
      </c>
    </row>
    <row r="15" spans="1:7" x14ac:dyDescent="0.45">
      <c r="A15" t="s">
        <v>360</v>
      </c>
      <c r="B15" s="4">
        <v>46211.552052372703</v>
      </c>
      <c r="C15">
        <v>65</v>
      </c>
      <c r="D15">
        <v>4</v>
      </c>
    </row>
    <row r="16" spans="1:7" x14ac:dyDescent="0.45">
      <c r="A16" t="s">
        <v>361</v>
      </c>
      <c r="B16" s="4">
        <v>46211.552052372703</v>
      </c>
      <c r="C16">
        <v>3</v>
      </c>
      <c r="D16">
        <v>1</v>
      </c>
    </row>
    <row r="17" spans="1:4" x14ac:dyDescent="0.45">
      <c r="A17" t="s">
        <v>362</v>
      </c>
      <c r="B17" s="4">
        <v>46211.552052372703</v>
      </c>
      <c r="C17">
        <v>7</v>
      </c>
      <c r="D17">
        <v>1</v>
      </c>
    </row>
    <row r="18" spans="1:4" x14ac:dyDescent="0.45">
      <c r="A18" t="s">
        <v>363</v>
      </c>
      <c r="B18" s="4">
        <v>46211.552052384301</v>
      </c>
      <c r="C18">
        <v>4</v>
      </c>
      <c r="D18">
        <v>1</v>
      </c>
    </row>
    <row r="19" spans="1:4" x14ac:dyDescent="0.45">
      <c r="A19" t="s">
        <v>364</v>
      </c>
      <c r="B19" s="4">
        <v>46211.552052384301</v>
      </c>
      <c r="C19">
        <v>3</v>
      </c>
      <c r="D19">
        <v>1</v>
      </c>
    </row>
    <row r="20" spans="1:4" x14ac:dyDescent="0.45">
      <c r="A20" t="s">
        <v>365</v>
      </c>
      <c r="B20" s="4">
        <v>46211.552052384301</v>
      </c>
      <c r="C20">
        <v>7</v>
      </c>
      <c r="D20">
        <v>1</v>
      </c>
    </row>
    <row r="21" spans="1:4" x14ac:dyDescent="0.45">
      <c r="A21" t="s">
        <v>366</v>
      </c>
      <c r="B21" s="4">
        <v>46211.552052384301</v>
      </c>
      <c r="C21">
        <v>6</v>
      </c>
      <c r="D21">
        <v>1</v>
      </c>
    </row>
    <row r="22" spans="1:4" x14ac:dyDescent="0.45">
      <c r="A22" t="s">
        <v>367</v>
      </c>
      <c r="B22" s="4">
        <v>46211.552052395797</v>
      </c>
      <c r="C22">
        <v>8</v>
      </c>
      <c r="D22">
        <v>1</v>
      </c>
    </row>
    <row r="23" spans="1:4" x14ac:dyDescent="0.45">
      <c r="A23" t="s">
        <v>368</v>
      </c>
      <c r="B23" s="4">
        <v>46211.552052395797</v>
      </c>
      <c r="C23">
        <v>3</v>
      </c>
      <c r="D23">
        <v>1</v>
      </c>
    </row>
    <row r="24" spans="1:4" x14ac:dyDescent="0.45">
      <c r="A24" t="s">
        <v>369</v>
      </c>
      <c r="B24" s="4">
        <v>46212.397656261601</v>
      </c>
      <c r="C24">
        <v>110</v>
      </c>
      <c r="D24">
        <v>3</v>
      </c>
    </row>
  </sheetData>
  <hyperlinks>
    <hyperlink ref="A1" location="Карта!B8" display="[Перейти в карту выгрузки]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/>
  </sheetViews>
  <sheetFormatPr defaultColWidth="9.06640625" defaultRowHeight="14.25" x14ac:dyDescent="0.45"/>
  <cols>
    <col min="1" max="1" width="34.730468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8</v>
      </c>
      <c r="B3" s="4">
        <v>46212.479671967601</v>
      </c>
      <c r="C3">
        <v>2462</v>
      </c>
      <c r="D3">
        <v>70</v>
      </c>
    </row>
    <row r="4" spans="1:7" x14ac:dyDescent="0.45">
      <c r="A4" t="s">
        <v>370</v>
      </c>
      <c r="B4" s="4">
        <v>46212.479672083296</v>
      </c>
      <c r="C4">
        <v>42</v>
      </c>
      <c r="D4">
        <v>3</v>
      </c>
    </row>
    <row r="5" spans="1:7" x14ac:dyDescent="0.45">
      <c r="A5" t="s">
        <v>371</v>
      </c>
      <c r="B5" s="4">
        <v>46212.479672083296</v>
      </c>
      <c r="C5">
        <v>127</v>
      </c>
      <c r="D5">
        <v>3</v>
      </c>
    </row>
    <row r="6" spans="1:7" x14ac:dyDescent="0.45">
      <c r="A6" t="s">
        <v>372</v>
      </c>
      <c r="B6" s="4">
        <v>46212.479672094902</v>
      </c>
      <c r="C6">
        <v>121</v>
      </c>
      <c r="D6">
        <v>11</v>
      </c>
    </row>
    <row r="7" spans="1:7" x14ac:dyDescent="0.45">
      <c r="A7" t="s">
        <v>373</v>
      </c>
      <c r="B7" s="4">
        <v>46212.479672094902</v>
      </c>
      <c r="C7">
        <v>41</v>
      </c>
      <c r="D7">
        <v>4</v>
      </c>
    </row>
    <row r="8" spans="1:7" x14ac:dyDescent="0.45">
      <c r="A8" t="s">
        <v>374</v>
      </c>
      <c r="B8" s="4">
        <v>46212.479672106499</v>
      </c>
      <c r="C8">
        <v>131</v>
      </c>
      <c r="D8">
        <v>13</v>
      </c>
    </row>
    <row r="9" spans="1:7" x14ac:dyDescent="0.45">
      <c r="A9" t="s">
        <v>375</v>
      </c>
      <c r="B9" s="4">
        <v>46212.479672106499</v>
      </c>
      <c r="C9">
        <v>57</v>
      </c>
      <c r="D9">
        <v>11</v>
      </c>
    </row>
    <row r="10" spans="1:7" x14ac:dyDescent="0.45">
      <c r="A10" t="s">
        <v>376</v>
      </c>
      <c r="B10" s="4">
        <v>46212.479672106499</v>
      </c>
      <c r="C10">
        <v>65</v>
      </c>
      <c r="D10">
        <v>3</v>
      </c>
    </row>
    <row r="11" spans="1:7" x14ac:dyDescent="0.45">
      <c r="A11" t="s">
        <v>377</v>
      </c>
      <c r="B11" s="4">
        <v>46212.479672106499</v>
      </c>
      <c r="C11">
        <v>353</v>
      </c>
      <c r="D11">
        <v>13</v>
      </c>
    </row>
    <row r="12" spans="1:7" x14ac:dyDescent="0.45">
      <c r="A12" t="s">
        <v>378</v>
      </c>
      <c r="B12" s="4">
        <v>46212.479672106499</v>
      </c>
      <c r="C12">
        <v>42</v>
      </c>
      <c r="D12">
        <v>3</v>
      </c>
    </row>
    <row r="13" spans="1:7" x14ac:dyDescent="0.45">
      <c r="A13" t="s">
        <v>379</v>
      </c>
      <c r="B13" s="4">
        <v>46212.479672106499</v>
      </c>
      <c r="C13">
        <v>7</v>
      </c>
      <c r="D13">
        <v>2</v>
      </c>
    </row>
    <row r="14" spans="1:7" x14ac:dyDescent="0.45">
      <c r="A14" t="s">
        <v>380</v>
      </c>
      <c r="B14" s="4">
        <v>46212.479672118097</v>
      </c>
      <c r="C14">
        <v>7</v>
      </c>
      <c r="D14">
        <v>2</v>
      </c>
    </row>
    <row r="15" spans="1:7" x14ac:dyDescent="0.45">
      <c r="A15" t="s">
        <v>381</v>
      </c>
      <c r="B15" s="4">
        <v>46212.479672118097</v>
      </c>
      <c r="C15">
        <v>11</v>
      </c>
      <c r="D15">
        <v>2</v>
      </c>
    </row>
    <row r="16" spans="1:7" x14ac:dyDescent="0.45">
      <c r="A16" t="s">
        <v>382</v>
      </c>
      <c r="B16" s="4">
        <v>46212.479672118097</v>
      </c>
      <c r="C16">
        <v>17</v>
      </c>
      <c r="D16">
        <v>2</v>
      </c>
    </row>
    <row r="17" spans="1:4" x14ac:dyDescent="0.45">
      <c r="A17" t="s">
        <v>383</v>
      </c>
      <c r="B17" s="4">
        <v>46212.479672129601</v>
      </c>
      <c r="C17">
        <v>19</v>
      </c>
      <c r="D17">
        <v>3</v>
      </c>
    </row>
    <row r="18" spans="1:4" x14ac:dyDescent="0.45">
      <c r="A18" t="s">
        <v>384</v>
      </c>
      <c r="B18" s="4">
        <v>46212.479672129601</v>
      </c>
      <c r="C18">
        <v>207</v>
      </c>
      <c r="D18">
        <v>2</v>
      </c>
    </row>
    <row r="19" spans="1:4" x14ac:dyDescent="0.45">
      <c r="A19" t="s">
        <v>385</v>
      </c>
      <c r="B19" s="4">
        <v>46212.479672129601</v>
      </c>
      <c r="C19">
        <v>4</v>
      </c>
      <c r="D19">
        <v>2</v>
      </c>
    </row>
    <row r="20" spans="1:4" x14ac:dyDescent="0.45">
      <c r="A20" t="s">
        <v>386</v>
      </c>
      <c r="B20" s="4">
        <v>46212.479672152796</v>
      </c>
      <c r="C20">
        <v>20</v>
      </c>
      <c r="D20">
        <v>3</v>
      </c>
    </row>
    <row r="21" spans="1:4" x14ac:dyDescent="0.45">
      <c r="A21" t="s">
        <v>387</v>
      </c>
      <c r="B21" s="4">
        <v>46212.479672152796</v>
      </c>
      <c r="C21">
        <v>32</v>
      </c>
      <c r="D21">
        <v>1</v>
      </c>
    </row>
    <row r="22" spans="1:4" x14ac:dyDescent="0.45">
      <c r="A22" t="s">
        <v>388</v>
      </c>
      <c r="B22" s="4">
        <v>46212.479672152796</v>
      </c>
      <c r="C22">
        <v>34</v>
      </c>
      <c r="D22">
        <v>1</v>
      </c>
    </row>
    <row r="23" spans="1:4" x14ac:dyDescent="0.45">
      <c r="A23" t="s">
        <v>389</v>
      </c>
      <c r="B23" s="4">
        <v>46212.479672152796</v>
      </c>
      <c r="C23">
        <v>315</v>
      </c>
      <c r="D23">
        <v>1</v>
      </c>
    </row>
    <row r="24" spans="1:4" x14ac:dyDescent="0.45">
      <c r="A24" t="s">
        <v>390</v>
      </c>
      <c r="B24" s="4">
        <v>46212.479672152796</v>
      </c>
      <c r="C24">
        <v>34</v>
      </c>
      <c r="D24">
        <v>1</v>
      </c>
    </row>
    <row r="25" spans="1:4" x14ac:dyDescent="0.45">
      <c r="A25" t="s">
        <v>391</v>
      </c>
      <c r="B25" s="4">
        <v>46212.479672152796</v>
      </c>
      <c r="C25">
        <v>88</v>
      </c>
      <c r="D25">
        <v>1</v>
      </c>
    </row>
    <row r="26" spans="1:4" x14ac:dyDescent="0.45">
      <c r="A26" t="s">
        <v>392</v>
      </c>
      <c r="B26" s="4">
        <v>46212.479672164402</v>
      </c>
      <c r="C26">
        <v>32</v>
      </c>
      <c r="D26">
        <v>1</v>
      </c>
    </row>
    <row r="27" spans="1:4" x14ac:dyDescent="0.45">
      <c r="A27" t="s">
        <v>393</v>
      </c>
      <c r="B27" s="4">
        <v>46212.479672164402</v>
      </c>
      <c r="C27">
        <v>47</v>
      </c>
      <c r="D27">
        <v>1</v>
      </c>
    </row>
    <row r="28" spans="1:4" x14ac:dyDescent="0.45">
      <c r="A28" t="s">
        <v>394</v>
      </c>
      <c r="B28" s="4">
        <v>46212.479672175898</v>
      </c>
      <c r="C28">
        <v>1</v>
      </c>
      <c r="D28">
        <v>1</v>
      </c>
    </row>
    <row r="29" spans="1:4" x14ac:dyDescent="0.45">
      <c r="A29" t="s">
        <v>395</v>
      </c>
      <c r="B29" s="4">
        <v>46212.479672175898</v>
      </c>
      <c r="C29">
        <v>1</v>
      </c>
      <c r="D29">
        <v>1</v>
      </c>
    </row>
    <row r="30" spans="1:4" x14ac:dyDescent="0.45">
      <c r="A30" t="s">
        <v>396</v>
      </c>
      <c r="B30" s="4">
        <v>46212.479672187503</v>
      </c>
      <c r="C30">
        <v>9</v>
      </c>
      <c r="D30">
        <v>1</v>
      </c>
    </row>
    <row r="31" spans="1:4" x14ac:dyDescent="0.45">
      <c r="A31" t="s">
        <v>397</v>
      </c>
      <c r="B31" s="4">
        <v>46212.479672187503</v>
      </c>
      <c r="C31">
        <v>1</v>
      </c>
      <c r="D31">
        <v>1</v>
      </c>
    </row>
    <row r="32" spans="1:4" x14ac:dyDescent="0.45">
      <c r="A32" t="s">
        <v>398</v>
      </c>
      <c r="B32" s="4">
        <v>46212.479672187503</v>
      </c>
      <c r="C32">
        <v>10</v>
      </c>
      <c r="D32">
        <v>1</v>
      </c>
    </row>
    <row r="33" spans="1:4" x14ac:dyDescent="0.45">
      <c r="A33" t="s">
        <v>399</v>
      </c>
      <c r="B33" s="4">
        <v>46212.4796726157</v>
      </c>
      <c r="C33">
        <v>5</v>
      </c>
      <c r="D33">
        <v>1</v>
      </c>
    </row>
    <row r="34" spans="1:4" x14ac:dyDescent="0.45">
      <c r="A34" t="s">
        <v>400</v>
      </c>
      <c r="B34" s="4">
        <v>46212.479672719899</v>
      </c>
      <c r="C34">
        <v>9</v>
      </c>
      <c r="D34">
        <v>1</v>
      </c>
    </row>
    <row r="35" spans="1:4" x14ac:dyDescent="0.45">
      <c r="A35" t="s">
        <v>401</v>
      </c>
      <c r="B35" s="4">
        <v>46212.479672731497</v>
      </c>
      <c r="C35">
        <v>43</v>
      </c>
      <c r="D35">
        <v>12</v>
      </c>
    </row>
    <row r="36" spans="1:4" x14ac:dyDescent="0.45">
      <c r="A36" t="s">
        <v>402</v>
      </c>
      <c r="B36" s="4">
        <v>46212.479672743102</v>
      </c>
      <c r="C36">
        <v>10</v>
      </c>
      <c r="D36">
        <v>9</v>
      </c>
    </row>
    <row r="37" spans="1:4" x14ac:dyDescent="0.45">
      <c r="A37" t="s">
        <v>403</v>
      </c>
      <c r="B37" s="4">
        <v>46212.479672743102</v>
      </c>
      <c r="C37">
        <v>10</v>
      </c>
      <c r="D37">
        <v>9</v>
      </c>
    </row>
    <row r="38" spans="1:4" x14ac:dyDescent="0.45">
      <c r="A38" t="s">
        <v>404</v>
      </c>
      <c r="B38" s="4">
        <v>46212.479672754598</v>
      </c>
      <c r="C38">
        <v>9</v>
      </c>
      <c r="D38">
        <v>1</v>
      </c>
    </row>
    <row r="39" spans="1:4" x14ac:dyDescent="0.45">
      <c r="A39" t="s">
        <v>405</v>
      </c>
      <c r="B39" s="4">
        <v>46212.397656180598</v>
      </c>
      <c r="C39">
        <v>315</v>
      </c>
      <c r="D39">
        <v>6</v>
      </c>
    </row>
    <row r="40" spans="1:4" x14ac:dyDescent="0.45">
      <c r="A40" t="s">
        <v>406</v>
      </c>
      <c r="B40" s="4">
        <v>46212.397657129601</v>
      </c>
      <c r="C40">
        <v>315</v>
      </c>
      <c r="D40">
        <v>6</v>
      </c>
    </row>
  </sheetData>
  <hyperlinks>
    <hyperlink ref="A1" location="Карта!B9" display="[Перейти в карту выгрузки]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ColWidth="9.06640625" defaultRowHeight="14.25" x14ac:dyDescent="0.45"/>
  <cols>
    <col min="1" max="1" width="33.92968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9</v>
      </c>
      <c r="B3" s="4">
        <v>46212.476415879602</v>
      </c>
      <c r="C3">
        <v>367</v>
      </c>
      <c r="D3">
        <v>16</v>
      </c>
    </row>
    <row r="4" spans="1:7" x14ac:dyDescent="0.45">
      <c r="A4" t="s">
        <v>407</v>
      </c>
      <c r="B4" s="4">
        <v>46212.4764158912</v>
      </c>
      <c r="C4">
        <v>4</v>
      </c>
      <c r="D4">
        <v>0</v>
      </c>
    </row>
    <row r="5" spans="1:7" x14ac:dyDescent="0.45">
      <c r="A5" t="s">
        <v>408</v>
      </c>
      <c r="B5" s="4">
        <v>46212.4764158912</v>
      </c>
      <c r="C5">
        <v>15</v>
      </c>
      <c r="D5">
        <v>0</v>
      </c>
    </row>
    <row r="6" spans="1:7" x14ac:dyDescent="0.45">
      <c r="A6" t="s">
        <v>409</v>
      </c>
      <c r="B6" s="4">
        <v>46212.476415902798</v>
      </c>
      <c r="C6">
        <v>390</v>
      </c>
      <c r="D6">
        <v>0</v>
      </c>
    </row>
    <row r="7" spans="1:7" x14ac:dyDescent="0.45">
      <c r="A7" t="s">
        <v>410</v>
      </c>
      <c r="B7" s="4">
        <v>46212.397656342597</v>
      </c>
      <c r="C7">
        <v>5</v>
      </c>
      <c r="D7">
        <v>2</v>
      </c>
    </row>
    <row r="8" spans="1:7" x14ac:dyDescent="0.45">
      <c r="A8" t="s">
        <v>411</v>
      </c>
      <c r="B8" s="4">
        <v>46212.397659652801</v>
      </c>
      <c r="C8">
        <v>5</v>
      </c>
      <c r="D8">
        <v>2</v>
      </c>
    </row>
  </sheetData>
  <hyperlinks>
    <hyperlink ref="A1" location="Карта!B10" display="[Перейти в карту выгрузки]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workbookViewId="0"/>
  </sheetViews>
  <sheetFormatPr defaultColWidth="9.06640625" defaultRowHeight="14.25" x14ac:dyDescent="0.45"/>
  <cols>
    <col min="1" max="1" width="26.464843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10</v>
      </c>
      <c r="B3" s="4">
        <v>46211.457881562499</v>
      </c>
      <c r="C3">
        <v>560</v>
      </c>
      <c r="D3">
        <v>11</v>
      </c>
    </row>
    <row r="4" spans="1:7" x14ac:dyDescent="0.45">
      <c r="A4" t="s">
        <v>412</v>
      </c>
      <c r="B4" s="4">
        <v>46212.397656064801</v>
      </c>
      <c r="C4">
        <v>382</v>
      </c>
      <c r="D4">
        <v>11</v>
      </c>
    </row>
    <row r="5" spans="1:7" x14ac:dyDescent="0.45">
      <c r="A5" t="s">
        <v>413</v>
      </c>
      <c r="B5" s="4">
        <v>46212.397656319401</v>
      </c>
      <c r="C5">
        <v>51</v>
      </c>
      <c r="D5">
        <v>2</v>
      </c>
    </row>
    <row r="6" spans="1:7" x14ac:dyDescent="0.45">
      <c r="A6" t="s">
        <v>414</v>
      </c>
      <c r="B6" s="4">
        <v>46212.397656354202</v>
      </c>
      <c r="C6">
        <v>602</v>
      </c>
      <c r="D6">
        <v>1</v>
      </c>
    </row>
    <row r="7" spans="1:7" x14ac:dyDescent="0.45">
      <c r="A7" t="s">
        <v>415</v>
      </c>
      <c r="B7" s="4">
        <v>46212.397656412002</v>
      </c>
      <c r="C7">
        <v>119</v>
      </c>
      <c r="D7">
        <v>1</v>
      </c>
    </row>
  </sheetData>
  <hyperlinks>
    <hyperlink ref="A1" location="Карта!B11" display="[Перейти в карту выгрузки]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7"/>
  <sheetViews>
    <sheetView workbookViewId="0"/>
  </sheetViews>
  <sheetFormatPr defaultColWidth="9.06640625" defaultRowHeight="14.25" x14ac:dyDescent="0.45"/>
  <cols>
    <col min="1" max="1" width="46.597656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416</v>
      </c>
      <c r="B3" s="4">
        <v>46210.464453958302</v>
      </c>
      <c r="C3">
        <v>22598</v>
      </c>
      <c r="D3">
        <v>10</v>
      </c>
      <c r="E3">
        <v>9000</v>
      </c>
      <c r="F3">
        <v>0</v>
      </c>
      <c r="G3">
        <v>10</v>
      </c>
    </row>
    <row r="4" spans="1:7" x14ac:dyDescent="0.45">
      <c r="A4" t="s">
        <v>417</v>
      </c>
      <c r="B4" s="4">
        <v>46210.464453958302</v>
      </c>
      <c r="C4">
        <v>22598</v>
      </c>
      <c r="D4">
        <v>554</v>
      </c>
      <c r="E4">
        <v>7000</v>
      </c>
      <c r="F4">
        <v>0</v>
      </c>
      <c r="G4">
        <v>8</v>
      </c>
    </row>
    <row r="5" spans="1:7" x14ac:dyDescent="0.45">
      <c r="A5" t="s">
        <v>418</v>
      </c>
      <c r="B5" s="4">
        <v>46212.488212407399</v>
      </c>
      <c r="C5">
        <v>3605</v>
      </c>
      <c r="D5">
        <v>73</v>
      </c>
    </row>
    <row r="6" spans="1:7" x14ac:dyDescent="0.45">
      <c r="A6" t="s">
        <v>419</v>
      </c>
      <c r="B6" s="4">
        <v>46212.488212407399</v>
      </c>
      <c r="C6">
        <v>710</v>
      </c>
      <c r="D6">
        <v>47</v>
      </c>
    </row>
    <row r="7" spans="1:7" x14ac:dyDescent="0.45">
      <c r="A7" t="s">
        <v>420</v>
      </c>
      <c r="B7" s="4">
        <v>46212.488212395801</v>
      </c>
      <c r="C7">
        <v>1010</v>
      </c>
      <c r="D7">
        <v>46</v>
      </c>
    </row>
    <row r="8" spans="1:7" x14ac:dyDescent="0.45">
      <c r="A8" t="s">
        <v>421</v>
      </c>
      <c r="B8" s="4">
        <v>46212.488212407399</v>
      </c>
      <c r="C8">
        <v>1042</v>
      </c>
      <c r="D8">
        <v>46</v>
      </c>
    </row>
    <row r="9" spans="1:7" x14ac:dyDescent="0.45">
      <c r="A9" t="s">
        <v>422</v>
      </c>
      <c r="B9" s="4">
        <v>46212.488212384298</v>
      </c>
      <c r="C9">
        <v>105</v>
      </c>
      <c r="D9">
        <v>23</v>
      </c>
    </row>
    <row r="10" spans="1:7" x14ac:dyDescent="0.45">
      <c r="A10" t="s">
        <v>423</v>
      </c>
      <c r="B10" s="4">
        <v>46212.488212418997</v>
      </c>
      <c r="C10">
        <v>105</v>
      </c>
      <c r="D10">
        <v>23</v>
      </c>
    </row>
    <row r="11" spans="1:7" x14ac:dyDescent="0.45">
      <c r="A11" t="s">
        <v>424</v>
      </c>
      <c r="B11" s="4">
        <v>46212.488213263903</v>
      </c>
      <c r="C11">
        <v>439</v>
      </c>
      <c r="D11">
        <v>18</v>
      </c>
    </row>
    <row r="12" spans="1:7" x14ac:dyDescent="0.45">
      <c r="A12" t="s">
        <v>425</v>
      </c>
      <c r="B12" s="4">
        <v>46212.488213263903</v>
      </c>
      <c r="C12">
        <v>439</v>
      </c>
      <c r="D12">
        <v>18</v>
      </c>
    </row>
    <row r="13" spans="1:7" x14ac:dyDescent="0.45">
      <c r="A13" t="s">
        <v>426</v>
      </c>
      <c r="B13" s="4">
        <v>46212.488212418997</v>
      </c>
      <c r="C13">
        <v>553</v>
      </c>
      <c r="D13">
        <v>16</v>
      </c>
    </row>
    <row r="14" spans="1:7" x14ac:dyDescent="0.45">
      <c r="A14" t="s">
        <v>427</v>
      </c>
      <c r="B14" s="4">
        <v>46212.488212418997</v>
      </c>
      <c r="C14">
        <v>481</v>
      </c>
      <c r="D14">
        <v>16</v>
      </c>
    </row>
    <row r="15" spans="1:7" x14ac:dyDescent="0.45">
      <c r="A15" t="s">
        <v>428</v>
      </c>
      <c r="B15" s="4">
        <v>46212.488212465301</v>
      </c>
      <c r="C15">
        <v>479</v>
      </c>
      <c r="D15">
        <v>15</v>
      </c>
    </row>
    <row r="16" spans="1:7" x14ac:dyDescent="0.45">
      <c r="A16" t="s">
        <v>429</v>
      </c>
      <c r="B16" s="4">
        <v>46212.488213321798</v>
      </c>
      <c r="C16">
        <v>42</v>
      </c>
      <c r="D16">
        <v>13</v>
      </c>
    </row>
    <row r="17" spans="1:4" x14ac:dyDescent="0.45">
      <c r="A17" t="s">
        <v>430</v>
      </c>
      <c r="B17" s="4">
        <v>46212.488212465301</v>
      </c>
      <c r="C17">
        <v>32</v>
      </c>
      <c r="D17">
        <v>9</v>
      </c>
    </row>
    <row r="18" spans="1:4" x14ac:dyDescent="0.45">
      <c r="A18" t="s">
        <v>431</v>
      </c>
      <c r="B18" s="4">
        <v>46212.488213101897</v>
      </c>
      <c r="C18">
        <v>273</v>
      </c>
      <c r="D18">
        <v>9</v>
      </c>
    </row>
    <row r="19" spans="1:4" x14ac:dyDescent="0.45">
      <c r="A19" t="s">
        <v>432</v>
      </c>
      <c r="B19" s="4">
        <v>46212.488213171302</v>
      </c>
      <c r="C19">
        <v>277</v>
      </c>
      <c r="D19">
        <v>9</v>
      </c>
    </row>
    <row r="20" spans="1:4" x14ac:dyDescent="0.45">
      <c r="A20" t="s">
        <v>433</v>
      </c>
      <c r="B20" s="4">
        <v>46212.4882132407</v>
      </c>
      <c r="C20">
        <v>277</v>
      </c>
      <c r="D20">
        <v>9</v>
      </c>
    </row>
    <row r="21" spans="1:4" x14ac:dyDescent="0.45">
      <c r="A21" t="s">
        <v>434</v>
      </c>
      <c r="B21" s="4">
        <v>46212.4882132407</v>
      </c>
      <c r="C21">
        <v>273</v>
      </c>
      <c r="D21">
        <v>9</v>
      </c>
    </row>
    <row r="22" spans="1:4" x14ac:dyDescent="0.45">
      <c r="A22" t="s">
        <v>435</v>
      </c>
      <c r="B22" s="4">
        <v>46212.488213275501</v>
      </c>
      <c r="C22">
        <v>273</v>
      </c>
      <c r="D22">
        <v>9</v>
      </c>
    </row>
    <row r="23" spans="1:4" x14ac:dyDescent="0.45">
      <c r="A23" t="s">
        <v>436</v>
      </c>
      <c r="B23" s="4">
        <v>46212.488212465301</v>
      </c>
      <c r="C23">
        <v>108</v>
      </c>
      <c r="D23">
        <v>8</v>
      </c>
    </row>
    <row r="24" spans="1:4" x14ac:dyDescent="0.45">
      <c r="A24" t="s">
        <v>437</v>
      </c>
      <c r="B24" s="4">
        <v>46212.488212476797</v>
      </c>
      <c r="C24">
        <v>114</v>
      </c>
      <c r="D24">
        <v>8</v>
      </c>
    </row>
    <row r="25" spans="1:4" x14ac:dyDescent="0.45">
      <c r="A25" t="s">
        <v>438</v>
      </c>
      <c r="B25" s="4">
        <v>46212.488213518503</v>
      </c>
      <c r="C25">
        <v>9</v>
      </c>
      <c r="D25">
        <v>8</v>
      </c>
    </row>
    <row r="26" spans="1:4" x14ac:dyDescent="0.45">
      <c r="A26" t="s">
        <v>439</v>
      </c>
      <c r="B26" s="4">
        <v>46212.488212488402</v>
      </c>
      <c r="C26">
        <v>33</v>
      </c>
      <c r="D26">
        <v>7</v>
      </c>
    </row>
    <row r="27" spans="1:4" x14ac:dyDescent="0.45">
      <c r="A27" t="s">
        <v>440</v>
      </c>
      <c r="B27" s="4">
        <v>46212.488212511598</v>
      </c>
      <c r="C27">
        <v>49</v>
      </c>
      <c r="D27">
        <v>7</v>
      </c>
    </row>
    <row r="28" spans="1:4" x14ac:dyDescent="0.45">
      <c r="A28" t="s">
        <v>441</v>
      </c>
      <c r="B28" s="4">
        <v>46212.488212997698</v>
      </c>
      <c r="C28">
        <v>29</v>
      </c>
      <c r="D28">
        <v>7</v>
      </c>
    </row>
    <row r="29" spans="1:4" x14ac:dyDescent="0.45">
      <c r="A29" t="s">
        <v>442</v>
      </c>
      <c r="B29" s="4">
        <v>46212.488212581004</v>
      </c>
      <c r="C29">
        <v>56</v>
      </c>
      <c r="D29">
        <v>5</v>
      </c>
    </row>
    <row r="30" spans="1:4" x14ac:dyDescent="0.45">
      <c r="A30" t="s">
        <v>443</v>
      </c>
      <c r="B30" s="4">
        <v>46212.488212592601</v>
      </c>
      <c r="C30">
        <v>46</v>
      </c>
      <c r="D30">
        <v>5</v>
      </c>
    </row>
    <row r="31" spans="1:4" x14ac:dyDescent="0.45">
      <c r="A31" t="s">
        <v>444</v>
      </c>
      <c r="B31" s="4">
        <v>46212.488212604199</v>
      </c>
      <c r="C31">
        <v>42</v>
      </c>
      <c r="D31">
        <v>5</v>
      </c>
    </row>
    <row r="32" spans="1:4" x14ac:dyDescent="0.45">
      <c r="A32" t="s">
        <v>445</v>
      </c>
      <c r="B32" s="4">
        <v>46212.488212604199</v>
      </c>
      <c r="C32">
        <v>46</v>
      </c>
      <c r="D32">
        <v>5</v>
      </c>
    </row>
    <row r="33" spans="1:4" x14ac:dyDescent="0.45">
      <c r="A33" t="s">
        <v>446</v>
      </c>
      <c r="B33" s="4">
        <v>46212.488212974502</v>
      </c>
      <c r="C33">
        <v>56</v>
      </c>
      <c r="D33">
        <v>5</v>
      </c>
    </row>
    <row r="34" spans="1:4" x14ac:dyDescent="0.45">
      <c r="A34" t="s">
        <v>447</v>
      </c>
      <c r="B34" s="4">
        <v>46212.488212592601</v>
      </c>
      <c r="C34">
        <v>22598</v>
      </c>
      <c r="D34">
        <v>4</v>
      </c>
    </row>
    <row r="35" spans="1:4" x14ac:dyDescent="0.45">
      <c r="A35" t="s">
        <v>448</v>
      </c>
      <c r="B35" s="4">
        <v>46212.4882133102</v>
      </c>
      <c r="C35">
        <v>56</v>
      </c>
      <c r="D35">
        <v>4</v>
      </c>
    </row>
    <row r="36" spans="1:4" x14ac:dyDescent="0.45">
      <c r="A36" t="s">
        <v>449</v>
      </c>
      <c r="B36" s="4">
        <v>46212.488212638898</v>
      </c>
      <c r="C36">
        <v>142</v>
      </c>
      <c r="D36">
        <v>3</v>
      </c>
    </row>
    <row r="37" spans="1:4" x14ac:dyDescent="0.45">
      <c r="A37" t="s">
        <v>450</v>
      </c>
      <c r="B37" s="4">
        <v>46212.488212650504</v>
      </c>
      <c r="C37">
        <v>142</v>
      </c>
      <c r="D37">
        <v>3</v>
      </c>
    </row>
    <row r="38" spans="1:4" x14ac:dyDescent="0.45">
      <c r="A38" t="s">
        <v>451</v>
      </c>
      <c r="B38" s="4">
        <v>46212.488212673597</v>
      </c>
      <c r="C38">
        <v>136</v>
      </c>
      <c r="D38">
        <v>3</v>
      </c>
    </row>
    <row r="39" spans="1:4" x14ac:dyDescent="0.45">
      <c r="A39" t="s">
        <v>452</v>
      </c>
      <c r="B39" s="4">
        <v>46212.488212719902</v>
      </c>
      <c r="C39">
        <v>5</v>
      </c>
      <c r="D39">
        <v>3</v>
      </c>
    </row>
    <row r="40" spans="1:4" x14ac:dyDescent="0.45">
      <c r="A40" t="s">
        <v>453</v>
      </c>
      <c r="B40" s="4">
        <v>46212.488212719902</v>
      </c>
      <c r="C40">
        <v>9</v>
      </c>
      <c r="D40">
        <v>3</v>
      </c>
    </row>
    <row r="41" spans="1:4" x14ac:dyDescent="0.45">
      <c r="A41" t="s">
        <v>454</v>
      </c>
      <c r="B41" s="4">
        <v>46212.488212951401</v>
      </c>
      <c r="C41">
        <v>142</v>
      </c>
      <c r="D41">
        <v>3</v>
      </c>
    </row>
    <row r="42" spans="1:4" x14ac:dyDescent="0.45">
      <c r="A42" t="s">
        <v>455</v>
      </c>
      <c r="B42" s="4">
        <v>46212.488213009303</v>
      </c>
      <c r="C42">
        <v>9</v>
      </c>
      <c r="D42">
        <v>3</v>
      </c>
    </row>
    <row r="43" spans="1:4" x14ac:dyDescent="0.45">
      <c r="A43" t="s">
        <v>456</v>
      </c>
      <c r="B43" s="4">
        <v>46212.488213148099</v>
      </c>
      <c r="C43">
        <v>201</v>
      </c>
      <c r="D43">
        <v>3</v>
      </c>
    </row>
    <row r="44" spans="1:4" x14ac:dyDescent="0.45">
      <c r="A44" t="s">
        <v>457</v>
      </c>
      <c r="B44" s="4">
        <v>46212.488213206001</v>
      </c>
      <c r="C44">
        <v>30</v>
      </c>
      <c r="D44">
        <v>3</v>
      </c>
    </row>
    <row r="45" spans="1:4" x14ac:dyDescent="0.45">
      <c r="A45" t="s">
        <v>458</v>
      </c>
      <c r="B45" s="4">
        <v>46212.488213333301</v>
      </c>
      <c r="C45">
        <v>30</v>
      </c>
      <c r="D45">
        <v>3</v>
      </c>
    </row>
    <row r="46" spans="1:4" x14ac:dyDescent="0.45">
      <c r="A46" t="s">
        <v>459</v>
      </c>
      <c r="B46" s="4">
        <v>46212.488212847202</v>
      </c>
      <c r="C46">
        <v>63</v>
      </c>
      <c r="D46">
        <v>2</v>
      </c>
    </row>
    <row r="47" spans="1:4" x14ac:dyDescent="0.45">
      <c r="A47" t="s">
        <v>460</v>
      </c>
      <c r="B47" s="4">
        <v>46212.4882128588</v>
      </c>
      <c r="C47">
        <v>22</v>
      </c>
      <c r="D47">
        <v>2</v>
      </c>
    </row>
    <row r="48" spans="1:4" x14ac:dyDescent="0.45">
      <c r="A48" t="s">
        <v>461</v>
      </c>
      <c r="B48" s="4">
        <v>46212.488212870398</v>
      </c>
      <c r="C48">
        <v>23</v>
      </c>
      <c r="D48">
        <v>2</v>
      </c>
    </row>
    <row r="49" spans="1:4" x14ac:dyDescent="0.45">
      <c r="A49" t="s">
        <v>462</v>
      </c>
      <c r="B49" s="4">
        <v>46212.488212870398</v>
      </c>
      <c r="C49">
        <v>33</v>
      </c>
      <c r="D49">
        <v>2</v>
      </c>
    </row>
    <row r="50" spans="1:4" x14ac:dyDescent="0.45">
      <c r="A50" t="s">
        <v>463</v>
      </c>
      <c r="B50" s="4">
        <v>46212.488212916702</v>
      </c>
      <c r="C50">
        <v>3</v>
      </c>
      <c r="D50">
        <v>2</v>
      </c>
    </row>
    <row r="51" spans="1:4" x14ac:dyDescent="0.45">
      <c r="A51" t="s">
        <v>464</v>
      </c>
      <c r="B51" s="4">
        <v>46212.488212916702</v>
      </c>
      <c r="C51">
        <v>3</v>
      </c>
      <c r="D51">
        <v>2</v>
      </c>
    </row>
    <row r="52" spans="1:4" x14ac:dyDescent="0.45">
      <c r="A52" t="s">
        <v>465</v>
      </c>
      <c r="B52" s="4">
        <v>46212.488212962999</v>
      </c>
      <c r="C52">
        <v>63</v>
      </c>
      <c r="D52">
        <v>2</v>
      </c>
    </row>
    <row r="53" spans="1:4" x14ac:dyDescent="0.45">
      <c r="A53" t="s">
        <v>466</v>
      </c>
      <c r="B53" s="4">
        <v>46212.4882129861</v>
      </c>
      <c r="C53">
        <v>33</v>
      </c>
      <c r="D53">
        <v>2</v>
      </c>
    </row>
    <row r="54" spans="1:4" x14ac:dyDescent="0.45">
      <c r="A54" t="s">
        <v>467</v>
      </c>
      <c r="B54" s="4">
        <v>46212.488212997698</v>
      </c>
      <c r="C54">
        <v>19</v>
      </c>
      <c r="D54">
        <v>2</v>
      </c>
    </row>
    <row r="55" spans="1:4" x14ac:dyDescent="0.45">
      <c r="A55" t="s">
        <v>468</v>
      </c>
      <c r="B55" s="4">
        <v>46212.488212997698</v>
      </c>
      <c r="C55">
        <v>17</v>
      </c>
      <c r="D55">
        <v>2</v>
      </c>
    </row>
    <row r="56" spans="1:4" x14ac:dyDescent="0.45">
      <c r="A56" t="s">
        <v>469</v>
      </c>
      <c r="B56" s="4">
        <v>46212.488213553203</v>
      </c>
      <c r="C56">
        <v>7</v>
      </c>
      <c r="D56">
        <v>2</v>
      </c>
    </row>
    <row r="57" spans="1:4" x14ac:dyDescent="0.45">
      <c r="A57" t="s">
        <v>470</v>
      </c>
      <c r="B57" s="4">
        <v>46212.4882135648</v>
      </c>
      <c r="C57">
        <v>6</v>
      </c>
      <c r="D57">
        <v>2</v>
      </c>
    </row>
  </sheetData>
  <hyperlinks>
    <hyperlink ref="A1" location="Карта!B12" display="[Перейти в карту выгрузки]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4"/>
  <sheetViews>
    <sheetView workbookViewId="0"/>
  </sheetViews>
  <sheetFormatPr defaultColWidth="9.06640625" defaultRowHeight="14.25" x14ac:dyDescent="0.45"/>
  <cols>
    <col min="1" max="1" width="51.531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12</v>
      </c>
      <c r="B3" s="4">
        <v>46210.464453958302</v>
      </c>
      <c r="C3">
        <v>2559</v>
      </c>
      <c r="D3">
        <v>131</v>
      </c>
      <c r="E3">
        <v>867000</v>
      </c>
      <c r="F3">
        <v>0</v>
      </c>
      <c r="G3">
        <v>10</v>
      </c>
    </row>
    <row r="4" spans="1:7" x14ac:dyDescent="0.45">
      <c r="A4" t="s">
        <v>471</v>
      </c>
      <c r="B4" s="4">
        <v>46210.464453958302</v>
      </c>
      <c r="C4">
        <v>2559</v>
      </c>
      <c r="D4">
        <v>3</v>
      </c>
      <c r="E4">
        <v>868000</v>
      </c>
      <c r="F4">
        <v>0</v>
      </c>
      <c r="G4">
        <v>9</v>
      </c>
    </row>
    <row r="5" spans="1:7" x14ac:dyDescent="0.45">
      <c r="A5" t="s">
        <v>472</v>
      </c>
      <c r="B5" s="4">
        <v>46212.538389791698</v>
      </c>
      <c r="C5">
        <v>3</v>
      </c>
      <c r="D5">
        <v>2</v>
      </c>
    </row>
    <row r="6" spans="1:7" x14ac:dyDescent="0.45">
      <c r="A6" t="s">
        <v>473</v>
      </c>
      <c r="B6" s="4">
        <v>46212.538389803201</v>
      </c>
      <c r="C6">
        <v>5</v>
      </c>
      <c r="D6">
        <v>3</v>
      </c>
    </row>
    <row r="7" spans="1:7" x14ac:dyDescent="0.45">
      <c r="A7" t="s">
        <v>474</v>
      </c>
      <c r="B7" s="4">
        <v>46212.538389872701</v>
      </c>
      <c r="C7">
        <v>76</v>
      </c>
      <c r="D7">
        <v>2</v>
      </c>
    </row>
    <row r="8" spans="1:7" x14ac:dyDescent="0.45">
      <c r="A8" t="s">
        <v>475</v>
      </c>
      <c r="B8" s="4">
        <v>46212.538389884299</v>
      </c>
      <c r="C8">
        <v>2559</v>
      </c>
      <c r="D8">
        <v>7</v>
      </c>
    </row>
    <row r="9" spans="1:7" x14ac:dyDescent="0.45">
      <c r="A9" t="s">
        <v>476</v>
      </c>
      <c r="B9" s="4">
        <v>46212.538389884299</v>
      </c>
      <c r="C9">
        <v>4</v>
      </c>
      <c r="D9">
        <v>4</v>
      </c>
    </row>
    <row r="10" spans="1:7" x14ac:dyDescent="0.45">
      <c r="A10" t="s">
        <v>477</v>
      </c>
      <c r="B10" s="4">
        <v>46212.538389884299</v>
      </c>
      <c r="C10">
        <v>288</v>
      </c>
      <c r="D10">
        <v>11</v>
      </c>
    </row>
    <row r="11" spans="1:7" x14ac:dyDescent="0.45">
      <c r="A11" t="s">
        <v>478</v>
      </c>
      <c r="B11" s="4">
        <v>46212.538389884299</v>
      </c>
      <c r="C11">
        <v>2559</v>
      </c>
      <c r="D11">
        <v>7</v>
      </c>
    </row>
    <row r="12" spans="1:7" x14ac:dyDescent="0.45">
      <c r="A12" t="s">
        <v>479</v>
      </c>
      <c r="B12" s="4">
        <v>46212.538389895803</v>
      </c>
      <c r="C12">
        <v>76</v>
      </c>
      <c r="D12">
        <v>2</v>
      </c>
    </row>
    <row r="13" spans="1:7" x14ac:dyDescent="0.45">
      <c r="A13" t="s">
        <v>480</v>
      </c>
      <c r="B13" s="4">
        <v>46212.538389895803</v>
      </c>
      <c r="C13">
        <v>187</v>
      </c>
      <c r="D13">
        <v>15</v>
      </c>
    </row>
    <row r="14" spans="1:7" x14ac:dyDescent="0.45">
      <c r="A14" t="s">
        <v>481</v>
      </c>
      <c r="B14" s="4">
        <v>46212.538389895803</v>
      </c>
      <c r="C14">
        <v>3</v>
      </c>
      <c r="D14">
        <v>2</v>
      </c>
    </row>
  </sheetData>
  <hyperlinks>
    <hyperlink ref="A1" location="Карта!B13" display="[Перейти в карту выгрузки]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3"/>
  <sheetViews>
    <sheetView workbookViewId="0"/>
  </sheetViews>
  <sheetFormatPr defaultColWidth="9.06640625" defaultRowHeight="14.25" x14ac:dyDescent="0.45"/>
  <cols>
    <col min="1" max="1" width="43.3320312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482</v>
      </c>
      <c r="B3" s="4">
        <v>46210.4644539699</v>
      </c>
      <c r="C3">
        <v>168</v>
      </c>
      <c r="D3">
        <v>2918</v>
      </c>
      <c r="E3">
        <v>878000</v>
      </c>
      <c r="F3">
        <v>0</v>
      </c>
      <c r="G3">
        <v>8</v>
      </c>
    </row>
    <row r="4" spans="1:7" x14ac:dyDescent="0.45">
      <c r="A4" t="s">
        <v>483</v>
      </c>
      <c r="B4" s="4">
        <v>46210.4644539699</v>
      </c>
      <c r="C4">
        <v>168</v>
      </c>
      <c r="D4">
        <v>2918</v>
      </c>
      <c r="E4">
        <v>911000</v>
      </c>
      <c r="F4">
        <v>0</v>
      </c>
      <c r="G4">
        <v>9</v>
      </c>
    </row>
    <row r="5" spans="1:7" x14ac:dyDescent="0.45">
      <c r="A5" t="s">
        <v>484</v>
      </c>
      <c r="B5" s="4">
        <v>46212.392537152802</v>
      </c>
      <c r="C5">
        <v>4059</v>
      </c>
      <c r="D5">
        <v>160</v>
      </c>
    </row>
    <row r="6" spans="1:7" x14ac:dyDescent="0.45">
      <c r="A6" t="s">
        <v>485</v>
      </c>
      <c r="B6" s="4">
        <v>46212.392537280102</v>
      </c>
      <c r="C6">
        <v>1475</v>
      </c>
      <c r="D6">
        <v>65</v>
      </c>
    </row>
    <row r="7" spans="1:7" x14ac:dyDescent="0.45">
      <c r="A7" t="s">
        <v>486</v>
      </c>
      <c r="B7" s="4">
        <v>46212.3925372917</v>
      </c>
      <c r="C7">
        <v>1475</v>
      </c>
      <c r="D7">
        <v>65</v>
      </c>
    </row>
    <row r="8" spans="1:7" x14ac:dyDescent="0.45">
      <c r="A8" t="s">
        <v>487</v>
      </c>
      <c r="B8" s="4">
        <v>46212.392537280102</v>
      </c>
      <c r="C8">
        <v>77</v>
      </c>
      <c r="D8">
        <v>15</v>
      </c>
    </row>
    <row r="9" spans="1:7" x14ac:dyDescent="0.45">
      <c r="A9" t="s">
        <v>488</v>
      </c>
      <c r="B9" s="4">
        <v>46212.3925379051</v>
      </c>
      <c r="C9">
        <v>13</v>
      </c>
      <c r="D9">
        <v>9</v>
      </c>
    </row>
    <row r="10" spans="1:7" x14ac:dyDescent="0.45">
      <c r="A10" t="s">
        <v>489</v>
      </c>
      <c r="B10" s="4">
        <v>46212.392537256899</v>
      </c>
      <c r="C10">
        <v>22</v>
      </c>
      <c r="D10">
        <v>8</v>
      </c>
    </row>
    <row r="11" spans="1:7" x14ac:dyDescent="0.45">
      <c r="A11" t="s">
        <v>490</v>
      </c>
      <c r="B11" s="4">
        <v>46212.392537268497</v>
      </c>
      <c r="C11">
        <v>22</v>
      </c>
      <c r="D11">
        <v>8</v>
      </c>
    </row>
    <row r="12" spans="1:7" x14ac:dyDescent="0.45">
      <c r="A12" t="s">
        <v>491</v>
      </c>
      <c r="B12" s="4">
        <v>46212.392537280102</v>
      </c>
      <c r="C12">
        <v>22</v>
      </c>
      <c r="D12">
        <v>8</v>
      </c>
    </row>
    <row r="13" spans="1:7" x14ac:dyDescent="0.45">
      <c r="A13" t="s">
        <v>492</v>
      </c>
      <c r="B13" s="4">
        <v>46212.3925372917</v>
      </c>
      <c r="C13">
        <v>22</v>
      </c>
      <c r="D13">
        <v>8</v>
      </c>
    </row>
    <row r="14" spans="1:7" x14ac:dyDescent="0.45">
      <c r="A14" t="s">
        <v>493</v>
      </c>
      <c r="B14" s="4">
        <v>46212.392537314801</v>
      </c>
      <c r="C14">
        <v>56</v>
      </c>
      <c r="D14">
        <v>7</v>
      </c>
    </row>
    <row r="15" spans="1:7" x14ac:dyDescent="0.45">
      <c r="A15" t="s">
        <v>494</v>
      </c>
      <c r="B15" s="4">
        <v>46212.3925372917</v>
      </c>
      <c r="C15">
        <v>55</v>
      </c>
      <c r="D15">
        <v>5</v>
      </c>
    </row>
    <row r="16" spans="1:7" x14ac:dyDescent="0.45">
      <c r="A16" t="s">
        <v>495</v>
      </c>
      <c r="B16" s="4">
        <v>46212.392537303203</v>
      </c>
      <c r="C16">
        <v>58</v>
      </c>
      <c r="D16">
        <v>5</v>
      </c>
    </row>
    <row r="17" spans="1:4" x14ac:dyDescent="0.45">
      <c r="A17" t="s">
        <v>496</v>
      </c>
      <c r="B17" s="4">
        <v>46212.3925372917</v>
      </c>
      <c r="C17">
        <v>196</v>
      </c>
      <c r="D17">
        <v>3</v>
      </c>
    </row>
    <row r="18" spans="1:4" x14ac:dyDescent="0.45">
      <c r="A18" t="s">
        <v>497</v>
      </c>
      <c r="B18" s="4">
        <v>46212.3925372917</v>
      </c>
      <c r="C18">
        <v>206</v>
      </c>
      <c r="D18">
        <v>3</v>
      </c>
    </row>
    <row r="19" spans="1:4" x14ac:dyDescent="0.45">
      <c r="A19" t="s">
        <v>498</v>
      </c>
      <c r="B19" s="4">
        <v>46212.3925372917</v>
      </c>
      <c r="C19">
        <v>206</v>
      </c>
      <c r="D19">
        <v>3</v>
      </c>
    </row>
    <row r="20" spans="1:4" x14ac:dyDescent="0.45">
      <c r="A20" t="s">
        <v>499</v>
      </c>
      <c r="B20" s="4">
        <v>46212.3925372917</v>
      </c>
      <c r="C20">
        <v>196</v>
      </c>
      <c r="D20">
        <v>3</v>
      </c>
    </row>
    <row r="21" spans="1:4" x14ac:dyDescent="0.45">
      <c r="A21" t="s">
        <v>500</v>
      </c>
      <c r="B21" s="4">
        <v>46212.392537303203</v>
      </c>
      <c r="C21">
        <v>206</v>
      </c>
      <c r="D21">
        <v>3</v>
      </c>
    </row>
    <row r="22" spans="1:4" x14ac:dyDescent="0.45">
      <c r="A22" t="s">
        <v>501</v>
      </c>
      <c r="B22" s="4">
        <v>46212.392537314801</v>
      </c>
      <c r="C22">
        <v>82</v>
      </c>
      <c r="D22">
        <v>3</v>
      </c>
    </row>
    <row r="23" spans="1:4" x14ac:dyDescent="0.45">
      <c r="A23" t="s">
        <v>502</v>
      </c>
      <c r="B23" s="4">
        <v>46212.392537326399</v>
      </c>
      <c r="C23">
        <v>7</v>
      </c>
      <c r="D23">
        <v>3</v>
      </c>
    </row>
    <row r="24" spans="1:4" x14ac:dyDescent="0.45">
      <c r="A24" t="s">
        <v>503</v>
      </c>
      <c r="B24" s="4">
        <v>46212.3925373495</v>
      </c>
      <c r="C24">
        <v>82</v>
      </c>
      <c r="D24">
        <v>3</v>
      </c>
    </row>
    <row r="25" spans="1:4" x14ac:dyDescent="0.45">
      <c r="A25" t="s">
        <v>504</v>
      </c>
      <c r="B25" s="4">
        <v>46212.392537766202</v>
      </c>
      <c r="C25">
        <v>7</v>
      </c>
      <c r="D25">
        <v>3</v>
      </c>
    </row>
    <row r="26" spans="1:4" x14ac:dyDescent="0.45">
      <c r="A26" t="s">
        <v>505</v>
      </c>
      <c r="B26" s="4">
        <v>46212.392537314801</v>
      </c>
      <c r="C26">
        <v>172</v>
      </c>
      <c r="D26">
        <v>2</v>
      </c>
    </row>
    <row r="27" spans="1:4" x14ac:dyDescent="0.45">
      <c r="A27" t="s">
        <v>506</v>
      </c>
      <c r="B27" s="4">
        <v>46212.392537314801</v>
      </c>
      <c r="C27">
        <v>97</v>
      </c>
      <c r="D27">
        <v>2</v>
      </c>
    </row>
    <row r="28" spans="1:4" x14ac:dyDescent="0.45">
      <c r="A28" t="s">
        <v>507</v>
      </c>
      <c r="B28" s="4">
        <v>46212.392537326399</v>
      </c>
      <c r="C28">
        <v>95</v>
      </c>
      <c r="D28">
        <v>2</v>
      </c>
    </row>
    <row r="29" spans="1:4" x14ac:dyDescent="0.45">
      <c r="A29" t="s">
        <v>508</v>
      </c>
      <c r="B29" s="4">
        <v>46212.392537337997</v>
      </c>
      <c r="C29">
        <v>97</v>
      </c>
      <c r="D29">
        <v>2</v>
      </c>
    </row>
    <row r="30" spans="1:4" x14ac:dyDescent="0.45">
      <c r="A30" t="s">
        <v>509</v>
      </c>
      <c r="B30" s="4">
        <v>46212.3925373495</v>
      </c>
      <c r="C30">
        <v>65</v>
      </c>
      <c r="D30">
        <v>2</v>
      </c>
    </row>
    <row r="31" spans="1:4" x14ac:dyDescent="0.45">
      <c r="A31" t="s">
        <v>510</v>
      </c>
      <c r="B31" s="4">
        <v>46212.3925373495</v>
      </c>
      <c r="C31">
        <v>10</v>
      </c>
      <c r="D31">
        <v>2</v>
      </c>
    </row>
    <row r="32" spans="1:4" x14ac:dyDescent="0.45">
      <c r="A32" t="s">
        <v>511</v>
      </c>
      <c r="B32" s="4">
        <v>46212.392537361098</v>
      </c>
      <c r="C32">
        <v>19</v>
      </c>
      <c r="D32">
        <v>2</v>
      </c>
    </row>
    <row r="33" spans="1:7" x14ac:dyDescent="0.45">
      <c r="A33" t="s">
        <v>512</v>
      </c>
      <c r="B33" s="4">
        <v>46212.392537361098</v>
      </c>
      <c r="C33">
        <v>4</v>
      </c>
      <c r="D33">
        <v>2</v>
      </c>
    </row>
    <row r="34" spans="1:7" x14ac:dyDescent="0.45">
      <c r="A34" t="s">
        <v>513</v>
      </c>
      <c r="B34" s="4">
        <v>46212.392537407402</v>
      </c>
      <c r="C34">
        <v>46</v>
      </c>
      <c r="D34">
        <v>2</v>
      </c>
    </row>
    <row r="35" spans="1:7" x14ac:dyDescent="0.45">
      <c r="A35" t="s">
        <v>514</v>
      </c>
      <c r="B35" s="4">
        <v>46212.392537407402</v>
      </c>
      <c r="C35">
        <v>29</v>
      </c>
      <c r="D35">
        <v>2</v>
      </c>
    </row>
    <row r="36" spans="1:7" x14ac:dyDescent="0.45">
      <c r="A36" t="s">
        <v>515</v>
      </c>
      <c r="B36" s="4">
        <v>46212.392537407402</v>
      </c>
      <c r="C36">
        <v>46</v>
      </c>
      <c r="D36">
        <v>2</v>
      </c>
    </row>
    <row r="37" spans="1:7" x14ac:dyDescent="0.45">
      <c r="A37" t="s">
        <v>516</v>
      </c>
      <c r="B37" s="4">
        <v>46210.4644539699</v>
      </c>
      <c r="C37">
        <v>0</v>
      </c>
      <c r="D37">
        <v>1</v>
      </c>
      <c r="E37">
        <v>16000</v>
      </c>
      <c r="F37">
        <v>0</v>
      </c>
      <c r="G37">
        <v>0</v>
      </c>
    </row>
    <row r="38" spans="1:7" x14ac:dyDescent="0.45">
      <c r="A38" t="s">
        <v>517</v>
      </c>
      <c r="B38" s="4">
        <v>46212.392537419</v>
      </c>
      <c r="C38">
        <v>28</v>
      </c>
      <c r="D38">
        <v>1</v>
      </c>
    </row>
    <row r="39" spans="1:7" x14ac:dyDescent="0.45">
      <c r="A39" t="s">
        <v>518</v>
      </c>
      <c r="B39" s="4">
        <v>46212.392537419</v>
      </c>
      <c r="C39">
        <v>16</v>
      </c>
      <c r="D39">
        <v>1</v>
      </c>
    </row>
    <row r="40" spans="1:7" x14ac:dyDescent="0.45">
      <c r="A40" t="s">
        <v>519</v>
      </c>
      <c r="B40" s="4">
        <v>46212.392537419</v>
      </c>
      <c r="C40">
        <v>134</v>
      </c>
      <c r="D40">
        <v>1</v>
      </c>
    </row>
    <row r="41" spans="1:7" x14ac:dyDescent="0.45">
      <c r="A41" t="s">
        <v>520</v>
      </c>
      <c r="B41" s="4">
        <v>46212.392537430598</v>
      </c>
      <c r="C41">
        <v>28</v>
      </c>
      <c r="D41">
        <v>1</v>
      </c>
    </row>
    <row r="42" spans="1:7" x14ac:dyDescent="0.45">
      <c r="A42" t="s">
        <v>521</v>
      </c>
      <c r="B42" s="4">
        <v>46212.392537430598</v>
      </c>
      <c r="C42">
        <v>29</v>
      </c>
      <c r="D42">
        <v>1</v>
      </c>
    </row>
    <row r="43" spans="1:7" x14ac:dyDescent="0.45">
      <c r="A43" t="s">
        <v>522</v>
      </c>
      <c r="B43" s="4">
        <v>46212.392537430598</v>
      </c>
      <c r="C43">
        <v>134</v>
      </c>
      <c r="D43">
        <v>1</v>
      </c>
    </row>
    <row r="44" spans="1:7" x14ac:dyDescent="0.45">
      <c r="A44" t="s">
        <v>523</v>
      </c>
      <c r="B44" s="4">
        <v>46212.392537430598</v>
      </c>
      <c r="C44">
        <v>17</v>
      </c>
      <c r="D44">
        <v>1</v>
      </c>
    </row>
    <row r="45" spans="1:7" x14ac:dyDescent="0.45">
      <c r="A45" t="s">
        <v>524</v>
      </c>
      <c r="B45" s="4">
        <v>46212.392537430598</v>
      </c>
      <c r="C45">
        <v>28</v>
      </c>
      <c r="D45">
        <v>1</v>
      </c>
    </row>
    <row r="46" spans="1:7" x14ac:dyDescent="0.45">
      <c r="A46" t="s">
        <v>525</v>
      </c>
      <c r="B46" s="4">
        <v>46212.392537442101</v>
      </c>
      <c r="C46">
        <v>4</v>
      </c>
      <c r="D46">
        <v>1</v>
      </c>
    </row>
    <row r="47" spans="1:7" x14ac:dyDescent="0.45">
      <c r="A47" t="s">
        <v>526</v>
      </c>
      <c r="B47" s="4">
        <v>46212.392537453699</v>
      </c>
      <c r="C47">
        <v>6</v>
      </c>
      <c r="D47">
        <v>1</v>
      </c>
    </row>
    <row r="48" spans="1:7" x14ac:dyDescent="0.45">
      <c r="A48" t="s">
        <v>527</v>
      </c>
      <c r="B48" s="4">
        <v>46212.392537465297</v>
      </c>
      <c r="C48">
        <v>4</v>
      </c>
      <c r="D48">
        <v>1</v>
      </c>
    </row>
    <row r="49" spans="1:4" x14ac:dyDescent="0.45">
      <c r="A49" t="s">
        <v>528</v>
      </c>
      <c r="B49" s="4">
        <v>46212.392537465297</v>
      </c>
      <c r="C49">
        <v>7</v>
      </c>
      <c r="D49">
        <v>1</v>
      </c>
    </row>
    <row r="50" spans="1:4" x14ac:dyDescent="0.45">
      <c r="A50" t="s">
        <v>529</v>
      </c>
      <c r="B50" s="4">
        <v>46212.392537719898</v>
      </c>
      <c r="C50">
        <v>16</v>
      </c>
      <c r="D50">
        <v>1</v>
      </c>
    </row>
    <row r="51" spans="1:4" x14ac:dyDescent="0.45">
      <c r="A51" t="s">
        <v>530</v>
      </c>
      <c r="B51" s="4">
        <v>46212.392537800901</v>
      </c>
      <c r="C51">
        <v>4</v>
      </c>
      <c r="D51">
        <v>1</v>
      </c>
    </row>
    <row r="52" spans="1:4" x14ac:dyDescent="0.45">
      <c r="A52" t="s">
        <v>531</v>
      </c>
      <c r="B52" s="4">
        <v>46212.392537893502</v>
      </c>
      <c r="C52">
        <v>4</v>
      </c>
      <c r="D52">
        <v>1</v>
      </c>
    </row>
    <row r="53" spans="1:4" x14ac:dyDescent="0.45">
      <c r="A53" t="s">
        <v>532</v>
      </c>
      <c r="B53" s="4">
        <v>46212.392537893502</v>
      </c>
      <c r="C53">
        <v>1</v>
      </c>
      <c r="D53">
        <v>1</v>
      </c>
    </row>
  </sheetData>
  <hyperlinks>
    <hyperlink ref="A1" location="Карта!B14" display="[Перейти в карту выгрузки]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92"/>
  <sheetViews>
    <sheetView workbookViewId="0"/>
  </sheetViews>
  <sheetFormatPr defaultColWidth="9.06640625" defaultRowHeight="14.25" x14ac:dyDescent="0.45"/>
  <cols>
    <col min="1" max="1" width="53.7968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533</v>
      </c>
      <c r="B3" s="4">
        <v>46210.4644539699</v>
      </c>
      <c r="C3">
        <v>9371</v>
      </c>
      <c r="D3">
        <v>427</v>
      </c>
      <c r="E3">
        <v>878000</v>
      </c>
      <c r="F3">
        <v>0</v>
      </c>
      <c r="G3">
        <v>8</v>
      </c>
    </row>
    <row r="4" spans="1:7" x14ac:dyDescent="0.45">
      <c r="A4" t="s">
        <v>534</v>
      </c>
      <c r="B4" s="4">
        <v>46210.4644539699</v>
      </c>
      <c r="C4">
        <v>6104</v>
      </c>
      <c r="D4">
        <v>475</v>
      </c>
      <c r="E4">
        <v>858000</v>
      </c>
      <c r="F4">
        <v>0</v>
      </c>
      <c r="G4">
        <v>4</v>
      </c>
    </row>
    <row r="5" spans="1:7" x14ac:dyDescent="0.45">
      <c r="A5" t="s">
        <v>535</v>
      </c>
      <c r="B5" s="4">
        <v>46210.4644539699</v>
      </c>
      <c r="C5">
        <v>14454</v>
      </c>
      <c r="D5">
        <v>156</v>
      </c>
      <c r="E5">
        <v>8000000</v>
      </c>
      <c r="F5">
        <v>0</v>
      </c>
      <c r="G5">
        <v>6</v>
      </c>
    </row>
    <row r="6" spans="1:7" x14ac:dyDescent="0.45">
      <c r="A6" t="s">
        <v>14</v>
      </c>
      <c r="B6" s="4">
        <v>46210.4644539699</v>
      </c>
      <c r="C6">
        <v>9371</v>
      </c>
      <c r="D6">
        <v>3</v>
      </c>
      <c r="E6">
        <v>852000</v>
      </c>
      <c r="F6">
        <v>0</v>
      </c>
      <c r="G6">
        <v>7</v>
      </c>
    </row>
    <row r="7" spans="1:7" x14ac:dyDescent="0.45">
      <c r="A7" t="s">
        <v>536</v>
      </c>
      <c r="B7" s="4">
        <v>46210.4644539699</v>
      </c>
      <c r="C7">
        <v>14454</v>
      </c>
      <c r="D7">
        <v>7</v>
      </c>
      <c r="E7">
        <v>9000000</v>
      </c>
      <c r="F7">
        <v>0</v>
      </c>
      <c r="G7">
        <v>4</v>
      </c>
    </row>
    <row r="8" spans="1:7" x14ac:dyDescent="0.45">
      <c r="A8" t="s">
        <v>537</v>
      </c>
      <c r="B8" s="4">
        <v>46212.526907893502</v>
      </c>
      <c r="C8">
        <v>6104</v>
      </c>
      <c r="D8">
        <v>475</v>
      </c>
    </row>
    <row r="9" spans="1:7" x14ac:dyDescent="0.45">
      <c r="A9" t="s">
        <v>538</v>
      </c>
      <c r="B9" s="4">
        <v>46212.526911840301</v>
      </c>
      <c r="C9">
        <v>44</v>
      </c>
      <c r="D9">
        <v>22</v>
      </c>
    </row>
    <row r="10" spans="1:7" x14ac:dyDescent="0.45">
      <c r="A10" t="s">
        <v>539</v>
      </c>
      <c r="B10" s="4">
        <v>46212.526911921297</v>
      </c>
      <c r="C10">
        <v>44</v>
      </c>
      <c r="D10">
        <v>22</v>
      </c>
    </row>
    <row r="11" spans="1:7" x14ac:dyDescent="0.45">
      <c r="A11" t="s">
        <v>540</v>
      </c>
      <c r="B11" s="4">
        <v>46212.5269079051</v>
      </c>
      <c r="C11">
        <v>659</v>
      </c>
      <c r="D11">
        <v>20</v>
      </c>
    </row>
    <row r="12" spans="1:7" x14ac:dyDescent="0.45">
      <c r="A12" t="s">
        <v>541</v>
      </c>
      <c r="B12" s="4">
        <v>46212.526906724503</v>
      </c>
      <c r="C12">
        <v>984</v>
      </c>
      <c r="D12">
        <v>18</v>
      </c>
    </row>
    <row r="13" spans="1:7" x14ac:dyDescent="0.45">
      <c r="A13" t="s">
        <v>542</v>
      </c>
      <c r="B13" s="4">
        <v>46212.5269067361</v>
      </c>
      <c r="C13">
        <v>1064</v>
      </c>
      <c r="D13">
        <v>18</v>
      </c>
    </row>
    <row r="14" spans="1:7" x14ac:dyDescent="0.45">
      <c r="A14" t="s">
        <v>543</v>
      </c>
      <c r="B14" s="4">
        <v>46212.5269067361</v>
      </c>
      <c r="C14">
        <v>32</v>
      </c>
      <c r="D14">
        <v>16</v>
      </c>
    </row>
    <row r="15" spans="1:7" x14ac:dyDescent="0.45">
      <c r="A15" t="s">
        <v>544</v>
      </c>
      <c r="B15" s="4">
        <v>46212.526909953704</v>
      </c>
      <c r="C15">
        <v>68</v>
      </c>
      <c r="D15">
        <v>14</v>
      </c>
    </row>
    <row r="16" spans="1:7" x14ac:dyDescent="0.45">
      <c r="A16" t="s">
        <v>545</v>
      </c>
      <c r="B16" s="4">
        <v>46212.526910080996</v>
      </c>
      <c r="C16">
        <v>68</v>
      </c>
      <c r="D16">
        <v>14</v>
      </c>
    </row>
    <row r="17" spans="1:4" x14ac:dyDescent="0.45">
      <c r="A17" t="s">
        <v>546</v>
      </c>
      <c r="B17" s="4">
        <v>46212.526910439803</v>
      </c>
      <c r="C17">
        <v>68</v>
      </c>
      <c r="D17">
        <v>14</v>
      </c>
    </row>
    <row r="18" spans="1:4" x14ac:dyDescent="0.45">
      <c r="A18" t="s">
        <v>547</v>
      </c>
      <c r="B18" s="4">
        <v>46212.526910451401</v>
      </c>
      <c r="C18">
        <v>65</v>
      </c>
      <c r="D18">
        <v>14</v>
      </c>
    </row>
    <row r="19" spans="1:4" x14ac:dyDescent="0.45">
      <c r="A19" t="s">
        <v>548</v>
      </c>
      <c r="B19" s="4">
        <v>46212.526910451401</v>
      </c>
      <c r="C19">
        <v>65</v>
      </c>
      <c r="D19">
        <v>14</v>
      </c>
    </row>
    <row r="20" spans="1:4" x14ac:dyDescent="0.45">
      <c r="A20" t="s">
        <v>549</v>
      </c>
      <c r="B20" s="4">
        <v>46212.526907916697</v>
      </c>
      <c r="C20">
        <v>45</v>
      </c>
      <c r="D20">
        <v>13</v>
      </c>
    </row>
    <row r="21" spans="1:4" x14ac:dyDescent="0.45">
      <c r="A21" t="s">
        <v>550</v>
      </c>
      <c r="B21" s="4">
        <v>46212.526907951396</v>
      </c>
      <c r="C21">
        <v>45</v>
      </c>
      <c r="D21">
        <v>13</v>
      </c>
    </row>
    <row r="22" spans="1:4" x14ac:dyDescent="0.45">
      <c r="A22" t="s">
        <v>551</v>
      </c>
      <c r="B22" s="4">
        <v>46212.526912048597</v>
      </c>
      <c r="C22">
        <v>121</v>
      </c>
      <c r="D22">
        <v>10</v>
      </c>
    </row>
    <row r="23" spans="1:4" x14ac:dyDescent="0.45">
      <c r="A23" t="s">
        <v>552</v>
      </c>
      <c r="B23" s="4">
        <v>46212.526909965301</v>
      </c>
      <c r="C23">
        <v>35</v>
      </c>
      <c r="D23">
        <v>9</v>
      </c>
    </row>
    <row r="24" spans="1:4" x14ac:dyDescent="0.45">
      <c r="A24" t="s">
        <v>553</v>
      </c>
      <c r="B24" s="4">
        <v>46212.526910185203</v>
      </c>
      <c r="C24">
        <v>35</v>
      </c>
      <c r="D24">
        <v>9</v>
      </c>
    </row>
    <row r="25" spans="1:4" x14ac:dyDescent="0.45">
      <c r="A25" t="s">
        <v>554</v>
      </c>
      <c r="B25" s="4">
        <v>46212.526909965301</v>
      </c>
      <c r="C25">
        <v>11</v>
      </c>
      <c r="D25">
        <v>8</v>
      </c>
    </row>
    <row r="26" spans="1:4" x14ac:dyDescent="0.45">
      <c r="A26" t="s">
        <v>555</v>
      </c>
      <c r="B26" s="4">
        <v>46212.526906759304</v>
      </c>
      <c r="C26">
        <v>171</v>
      </c>
      <c r="D26">
        <v>7</v>
      </c>
    </row>
    <row r="27" spans="1:4" x14ac:dyDescent="0.45">
      <c r="A27" t="s">
        <v>556</v>
      </c>
      <c r="B27" s="4">
        <v>46212.526908067099</v>
      </c>
      <c r="C27">
        <v>68</v>
      </c>
      <c r="D27">
        <v>7</v>
      </c>
    </row>
    <row r="28" spans="1:4" x14ac:dyDescent="0.45">
      <c r="A28" t="s">
        <v>557</v>
      </c>
      <c r="B28" s="4">
        <v>46212.526909976797</v>
      </c>
      <c r="C28">
        <v>174</v>
      </c>
      <c r="D28">
        <v>6</v>
      </c>
    </row>
    <row r="29" spans="1:4" x14ac:dyDescent="0.45">
      <c r="A29" t="s">
        <v>558</v>
      </c>
      <c r="B29" s="4">
        <v>46212.526910335597</v>
      </c>
      <c r="C29">
        <v>176</v>
      </c>
      <c r="D29">
        <v>6</v>
      </c>
    </row>
    <row r="30" spans="1:4" x14ac:dyDescent="0.45">
      <c r="A30" t="s">
        <v>559</v>
      </c>
      <c r="B30" s="4">
        <v>46212.526910335597</v>
      </c>
      <c r="C30">
        <v>176</v>
      </c>
      <c r="D30">
        <v>6</v>
      </c>
    </row>
    <row r="31" spans="1:4" x14ac:dyDescent="0.45">
      <c r="A31" t="s">
        <v>560</v>
      </c>
      <c r="B31" s="4">
        <v>46212.526910347202</v>
      </c>
      <c r="C31">
        <v>174</v>
      </c>
      <c r="D31">
        <v>6</v>
      </c>
    </row>
    <row r="32" spans="1:4" x14ac:dyDescent="0.45">
      <c r="A32" t="s">
        <v>561</v>
      </c>
      <c r="B32" s="4">
        <v>46212.526906747698</v>
      </c>
      <c r="C32">
        <v>19</v>
      </c>
      <c r="D32">
        <v>5</v>
      </c>
    </row>
    <row r="33" spans="1:4" x14ac:dyDescent="0.45">
      <c r="A33" t="s">
        <v>562</v>
      </c>
      <c r="B33" s="4">
        <v>46212.526907326399</v>
      </c>
      <c r="C33">
        <v>19</v>
      </c>
      <c r="D33">
        <v>5</v>
      </c>
    </row>
    <row r="34" spans="1:4" x14ac:dyDescent="0.45">
      <c r="A34" t="s">
        <v>563</v>
      </c>
      <c r="B34" s="4">
        <v>46212.526908009298</v>
      </c>
      <c r="C34">
        <v>46</v>
      </c>
      <c r="D34">
        <v>5</v>
      </c>
    </row>
    <row r="35" spans="1:4" x14ac:dyDescent="0.45">
      <c r="A35" t="s">
        <v>564</v>
      </c>
      <c r="B35" s="4">
        <v>46212.526908078697</v>
      </c>
      <c r="C35">
        <v>46</v>
      </c>
      <c r="D35">
        <v>5</v>
      </c>
    </row>
    <row r="36" spans="1:4" x14ac:dyDescent="0.45">
      <c r="A36" t="s">
        <v>565</v>
      </c>
      <c r="B36" s="4">
        <v>46212.526908078697</v>
      </c>
      <c r="C36">
        <v>46</v>
      </c>
      <c r="D36">
        <v>5</v>
      </c>
    </row>
    <row r="37" spans="1:4" x14ac:dyDescent="0.45">
      <c r="A37" t="s">
        <v>566</v>
      </c>
      <c r="B37" s="4">
        <v>46212.5269067361</v>
      </c>
      <c r="C37">
        <v>9371</v>
      </c>
      <c r="D37">
        <v>4</v>
      </c>
    </row>
    <row r="38" spans="1:4" x14ac:dyDescent="0.45">
      <c r="A38" t="s">
        <v>567</v>
      </c>
      <c r="B38" s="4">
        <v>46212.52691</v>
      </c>
      <c r="C38">
        <v>5</v>
      </c>
      <c r="D38">
        <v>4</v>
      </c>
    </row>
    <row r="39" spans="1:4" x14ac:dyDescent="0.45">
      <c r="A39" t="s">
        <v>568</v>
      </c>
      <c r="B39" s="4">
        <v>46212.5269067708</v>
      </c>
      <c r="C39">
        <v>14458</v>
      </c>
      <c r="D39">
        <v>3</v>
      </c>
    </row>
    <row r="40" spans="1:4" x14ac:dyDescent="0.45">
      <c r="A40" t="s">
        <v>569</v>
      </c>
      <c r="B40" s="4">
        <v>46212.526907986103</v>
      </c>
      <c r="C40">
        <v>32</v>
      </c>
      <c r="D40">
        <v>3</v>
      </c>
    </row>
    <row r="41" spans="1:4" x14ac:dyDescent="0.45">
      <c r="A41" t="s">
        <v>570</v>
      </c>
      <c r="B41" s="4">
        <v>46212.526908599502</v>
      </c>
      <c r="C41">
        <v>32</v>
      </c>
      <c r="D41">
        <v>3</v>
      </c>
    </row>
    <row r="42" spans="1:4" x14ac:dyDescent="0.45">
      <c r="A42" t="s">
        <v>571</v>
      </c>
      <c r="B42" s="4">
        <v>46212.526910080996</v>
      </c>
      <c r="C42">
        <v>51</v>
      </c>
      <c r="D42">
        <v>3</v>
      </c>
    </row>
    <row r="43" spans="1:4" x14ac:dyDescent="0.45">
      <c r="A43" t="s">
        <v>572</v>
      </c>
      <c r="B43" s="4">
        <v>46212.526911875</v>
      </c>
      <c r="C43">
        <v>15</v>
      </c>
      <c r="D43">
        <v>3</v>
      </c>
    </row>
    <row r="44" spans="1:4" x14ac:dyDescent="0.45">
      <c r="A44" t="s">
        <v>573</v>
      </c>
      <c r="B44" s="4">
        <v>46212.526912083304</v>
      </c>
      <c r="C44">
        <v>53</v>
      </c>
      <c r="D44">
        <v>3</v>
      </c>
    </row>
    <row r="45" spans="1:4" x14ac:dyDescent="0.45">
      <c r="A45" t="s">
        <v>574</v>
      </c>
      <c r="B45" s="4">
        <v>46212.526912256901</v>
      </c>
      <c r="C45">
        <v>15</v>
      </c>
      <c r="D45">
        <v>3</v>
      </c>
    </row>
    <row r="46" spans="1:4" x14ac:dyDescent="0.45">
      <c r="A46" t="s">
        <v>575</v>
      </c>
      <c r="B46" s="4">
        <v>46212.526906782397</v>
      </c>
      <c r="C46">
        <v>178</v>
      </c>
      <c r="D46">
        <v>2</v>
      </c>
    </row>
    <row r="47" spans="1:4" x14ac:dyDescent="0.45">
      <c r="A47" t="s">
        <v>576</v>
      </c>
      <c r="B47" s="4">
        <v>46212.526906782397</v>
      </c>
      <c r="C47">
        <v>340</v>
      </c>
      <c r="D47">
        <v>2</v>
      </c>
    </row>
    <row r="48" spans="1:4" x14ac:dyDescent="0.45">
      <c r="A48" t="s">
        <v>577</v>
      </c>
      <c r="B48" s="4">
        <v>46212.526906782397</v>
      </c>
      <c r="C48">
        <v>176</v>
      </c>
      <c r="D48">
        <v>2</v>
      </c>
    </row>
    <row r="49" spans="1:4" x14ac:dyDescent="0.45">
      <c r="A49" t="s">
        <v>578</v>
      </c>
      <c r="B49" s="4">
        <v>46212.5269068056</v>
      </c>
      <c r="C49">
        <v>355</v>
      </c>
      <c r="D49">
        <v>2</v>
      </c>
    </row>
    <row r="50" spans="1:4" x14ac:dyDescent="0.45">
      <c r="A50" t="s">
        <v>579</v>
      </c>
      <c r="B50" s="4">
        <v>46212.526908043998</v>
      </c>
      <c r="C50">
        <v>4</v>
      </c>
      <c r="D50">
        <v>2</v>
      </c>
    </row>
    <row r="51" spans="1:4" x14ac:dyDescent="0.45">
      <c r="A51" t="s">
        <v>580</v>
      </c>
      <c r="B51" s="4">
        <v>46212.526909537002</v>
      </c>
      <c r="C51">
        <v>4</v>
      </c>
      <c r="D51">
        <v>2</v>
      </c>
    </row>
    <row r="52" spans="1:4" x14ac:dyDescent="0.45">
      <c r="A52" t="s">
        <v>581</v>
      </c>
      <c r="B52" s="4">
        <v>46212.526910104199</v>
      </c>
      <c r="C52">
        <v>11</v>
      </c>
      <c r="D52">
        <v>2</v>
      </c>
    </row>
    <row r="53" spans="1:4" x14ac:dyDescent="0.45">
      <c r="A53" t="s">
        <v>582</v>
      </c>
      <c r="B53" s="4">
        <v>46212.526910104199</v>
      </c>
      <c r="C53">
        <v>11</v>
      </c>
      <c r="D53">
        <v>2</v>
      </c>
    </row>
    <row r="54" spans="1:4" x14ac:dyDescent="0.45">
      <c r="A54" t="s">
        <v>583</v>
      </c>
      <c r="B54" s="4">
        <v>46212.526910127301</v>
      </c>
      <c r="C54">
        <v>3</v>
      </c>
      <c r="D54">
        <v>2</v>
      </c>
    </row>
    <row r="55" spans="1:4" x14ac:dyDescent="0.45">
      <c r="A55" t="s">
        <v>584</v>
      </c>
      <c r="B55" s="4">
        <v>46212.526910138899</v>
      </c>
      <c r="C55">
        <v>2</v>
      </c>
      <c r="D55">
        <v>2</v>
      </c>
    </row>
    <row r="56" spans="1:4" x14ac:dyDescent="0.45">
      <c r="A56" t="s">
        <v>585</v>
      </c>
      <c r="B56" s="4">
        <v>46212.526910995402</v>
      </c>
      <c r="C56">
        <v>11</v>
      </c>
      <c r="D56">
        <v>2</v>
      </c>
    </row>
    <row r="57" spans="1:4" x14ac:dyDescent="0.45">
      <c r="A57" t="s">
        <v>586</v>
      </c>
      <c r="B57" s="4">
        <v>46212.526910995402</v>
      </c>
      <c r="C57">
        <v>11</v>
      </c>
      <c r="D57">
        <v>2</v>
      </c>
    </row>
    <row r="58" spans="1:4" x14ac:dyDescent="0.45">
      <c r="A58" t="s">
        <v>587</v>
      </c>
      <c r="B58" s="4">
        <v>46212.526911539397</v>
      </c>
      <c r="C58">
        <v>3</v>
      </c>
      <c r="D58">
        <v>2</v>
      </c>
    </row>
    <row r="59" spans="1:4" x14ac:dyDescent="0.45">
      <c r="A59" t="s">
        <v>588</v>
      </c>
      <c r="B59" s="4">
        <v>46212.526911898101</v>
      </c>
      <c r="C59">
        <v>5</v>
      </c>
      <c r="D59">
        <v>2</v>
      </c>
    </row>
    <row r="60" spans="1:4" x14ac:dyDescent="0.45">
      <c r="A60" t="s">
        <v>589</v>
      </c>
      <c r="B60" s="4">
        <v>46212.526912465299</v>
      </c>
      <c r="C60">
        <v>5</v>
      </c>
      <c r="D60">
        <v>2</v>
      </c>
    </row>
    <row r="61" spans="1:4" x14ac:dyDescent="0.45">
      <c r="A61" t="s">
        <v>590</v>
      </c>
      <c r="B61" s="4">
        <v>46212.526906851897</v>
      </c>
      <c r="C61">
        <v>171</v>
      </c>
      <c r="D61">
        <v>1</v>
      </c>
    </row>
    <row r="62" spans="1:4" x14ac:dyDescent="0.45">
      <c r="A62" t="s">
        <v>591</v>
      </c>
      <c r="B62" s="4">
        <v>46212.526908078697</v>
      </c>
      <c r="C62">
        <v>36</v>
      </c>
      <c r="D62">
        <v>1</v>
      </c>
    </row>
    <row r="63" spans="1:4" x14ac:dyDescent="0.45">
      <c r="A63" t="s">
        <v>592</v>
      </c>
      <c r="B63" s="4">
        <v>46212.526908101798</v>
      </c>
      <c r="C63">
        <v>25</v>
      </c>
      <c r="D63">
        <v>1</v>
      </c>
    </row>
    <row r="64" spans="1:4" x14ac:dyDescent="0.45">
      <c r="A64" t="s">
        <v>593</v>
      </c>
      <c r="B64" s="4">
        <v>46212.526908148102</v>
      </c>
      <c r="C64">
        <v>7</v>
      </c>
      <c r="D64">
        <v>1</v>
      </c>
    </row>
    <row r="65" spans="1:4" x14ac:dyDescent="0.45">
      <c r="A65" t="s">
        <v>594</v>
      </c>
      <c r="B65" s="4">
        <v>46212.526908460597</v>
      </c>
      <c r="C65">
        <v>50</v>
      </c>
      <c r="D65">
        <v>1</v>
      </c>
    </row>
    <row r="66" spans="1:4" x14ac:dyDescent="0.45">
      <c r="A66" t="s">
        <v>595</v>
      </c>
      <c r="B66" s="4">
        <v>46212.526908460597</v>
      </c>
      <c r="C66">
        <v>50</v>
      </c>
      <c r="D66">
        <v>1</v>
      </c>
    </row>
    <row r="67" spans="1:4" x14ac:dyDescent="0.45">
      <c r="A67" t="s">
        <v>596</v>
      </c>
      <c r="B67" s="4">
        <v>46212.526908472202</v>
      </c>
      <c r="C67">
        <v>50</v>
      </c>
      <c r="D67">
        <v>1</v>
      </c>
    </row>
    <row r="68" spans="1:4" x14ac:dyDescent="0.45">
      <c r="A68" t="s">
        <v>597</v>
      </c>
      <c r="B68" s="4">
        <v>46212.526908541702</v>
      </c>
      <c r="C68">
        <v>36</v>
      </c>
      <c r="D68">
        <v>1</v>
      </c>
    </row>
    <row r="69" spans="1:4" x14ac:dyDescent="0.45">
      <c r="A69" t="s">
        <v>598</v>
      </c>
      <c r="B69" s="4">
        <v>46212.526909259301</v>
      </c>
      <c r="C69">
        <v>7</v>
      </c>
      <c r="D69">
        <v>1</v>
      </c>
    </row>
    <row r="70" spans="1:4" x14ac:dyDescent="0.45">
      <c r="A70" t="s">
        <v>599</v>
      </c>
      <c r="B70" s="4">
        <v>46212.526910162</v>
      </c>
      <c r="C70">
        <v>83</v>
      </c>
      <c r="D70">
        <v>1</v>
      </c>
    </row>
    <row r="71" spans="1:4" x14ac:dyDescent="0.45">
      <c r="A71" t="s">
        <v>600</v>
      </c>
      <c r="B71" s="4">
        <v>46212.526910173598</v>
      </c>
      <c r="C71">
        <v>83</v>
      </c>
      <c r="D71">
        <v>1</v>
      </c>
    </row>
    <row r="72" spans="1:4" x14ac:dyDescent="0.45">
      <c r="A72" t="s">
        <v>601</v>
      </c>
      <c r="B72" s="4">
        <v>46212.526910196801</v>
      </c>
      <c r="C72">
        <v>17</v>
      </c>
      <c r="D72">
        <v>1</v>
      </c>
    </row>
    <row r="73" spans="1:4" x14ac:dyDescent="0.45">
      <c r="A73" t="s">
        <v>602</v>
      </c>
      <c r="B73" s="4">
        <v>46212.526910266199</v>
      </c>
      <c r="C73">
        <v>2</v>
      </c>
      <c r="D73">
        <v>1</v>
      </c>
    </row>
    <row r="74" spans="1:4" x14ac:dyDescent="0.45">
      <c r="A74" t="s">
        <v>603</v>
      </c>
      <c r="B74" s="4">
        <v>46212.526910277797</v>
      </c>
      <c r="C74">
        <v>1</v>
      </c>
      <c r="D74">
        <v>1</v>
      </c>
    </row>
    <row r="75" spans="1:4" x14ac:dyDescent="0.45">
      <c r="A75" t="s">
        <v>604</v>
      </c>
      <c r="B75" s="4">
        <v>46212.526910405097</v>
      </c>
      <c r="C75">
        <v>83</v>
      </c>
      <c r="D75">
        <v>1</v>
      </c>
    </row>
    <row r="76" spans="1:4" x14ac:dyDescent="0.45">
      <c r="A76" t="s">
        <v>605</v>
      </c>
      <c r="B76" s="4">
        <v>46212.526910405097</v>
      </c>
      <c r="C76">
        <v>83</v>
      </c>
      <c r="D76">
        <v>1</v>
      </c>
    </row>
    <row r="77" spans="1:4" x14ac:dyDescent="0.45">
      <c r="A77" t="s">
        <v>606</v>
      </c>
      <c r="B77" s="4">
        <v>46212.526910405097</v>
      </c>
      <c r="C77">
        <v>83</v>
      </c>
      <c r="D77">
        <v>1</v>
      </c>
    </row>
    <row r="78" spans="1:4" x14ac:dyDescent="0.45">
      <c r="A78" t="s">
        <v>607</v>
      </c>
      <c r="B78" s="4">
        <v>46212.526910405097</v>
      </c>
      <c r="C78">
        <v>83</v>
      </c>
      <c r="D78">
        <v>1</v>
      </c>
    </row>
    <row r="79" spans="1:4" x14ac:dyDescent="0.45">
      <c r="A79" t="s">
        <v>608</v>
      </c>
      <c r="B79" s="4">
        <v>46212.526910405097</v>
      </c>
      <c r="C79">
        <v>83</v>
      </c>
      <c r="D79">
        <v>1</v>
      </c>
    </row>
    <row r="80" spans="1:4" x14ac:dyDescent="0.45">
      <c r="A80" t="s">
        <v>609</v>
      </c>
      <c r="B80" s="4">
        <v>46212.526910416702</v>
      </c>
      <c r="C80">
        <v>83</v>
      </c>
      <c r="D80">
        <v>1</v>
      </c>
    </row>
    <row r="81" spans="1:4" x14ac:dyDescent="0.45">
      <c r="A81" t="s">
        <v>610</v>
      </c>
      <c r="B81" s="4">
        <v>46212.526910497698</v>
      </c>
      <c r="C81">
        <v>47</v>
      </c>
      <c r="D81">
        <v>1</v>
      </c>
    </row>
    <row r="82" spans="1:4" x14ac:dyDescent="0.45">
      <c r="A82" t="s">
        <v>611</v>
      </c>
      <c r="B82" s="4">
        <v>46212.526910544002</v>
      </c>
      <c r="C82">
        <v>39</v>
      </c>
      <c r="D82">
        <v>1</v>
      </c>
    </row>
    <row r="83" spans="1:4" x14ac:dyDescent="0.45">
      <c r="A83" t="s">
        <v>612</v>
      </c>
      <c r="B83" s="4">
        <v>46212.526910636603</v>
      </c>
      <c r="C83">
        <v>27</v>
      </c>
      <c r="D83">
        <v>1</v>
      </c>
    </row>
    <row r="84" spans="1:4" x14ac:dyDescent="0.45">
      <c r="A84" t="s">
        <v>613</v>
      </c>
      <c r="B84" s="4">
        <v>46212.526910763903</v>
      </c>
      <c r="C84">
        <v>17</v>
      </c>
      <c r="D84">
        <v>1</v>
      </c>
    </row>
    <row r="85" spans="1:4" x14ac:dyDescent="0.45">
      <c r="A85" t="s">
        <v>614</v>
      </c>
      <c r="B85" s="4">
        <v>46212.526911412002</v>
      </c>
      <c r="C85">
        <v>4</v>
      </c>
      <c r="D85">
        <v>1</v>
      </c>
    </row>
    <row r="86" spans="1:4" x14ac:dyDescent="0.45">
      <c r="A86" t="s">
        <v>615</v>
      </c>
      <c r="B86" s="4">
        <v>46212.526911446803</v>
      </c>
      <c r="C86">
        <v>4</v>
      </c>
      <c r="D86">
        <v>1</v>
      </c>
    </row>
    <row r="87" spans="1:4" x14ac:dyDescent="0.45">
      <c r="A87" t="s">
        <v>616</v>
      </c>
      <c r="B87" s="4">
        <v>46212.526911458299</v>
      </c>
      <c r="C87">
        <v>4</v>
      </c>
      <c r="D87">
        <v>1</v>
      </c>
    </row>
    <row r="88" spans="1:4" x14ac:dyDescent="0.45">
      <c r="A88" t="s">
        <v>617</v>
      </c>
      <c r="B88" s="4">
        <v>46212.526911631903</v>
      </c>
      <c r="C88">
        <v>2</v>
      </c>
      <c r="D88">
        <v>1</v>
      </c>
    </row>
    <row r="89" spans="1:4" x14ac:dyDescent="0.45">
      <c r="A89" t="s">
        <v>618</v>
      </c>
      <c r="B89" s="4">
        <v>46212.526911736102</v>
      </c>
      <c r="C89">
        <v>2</v>
      </c>
      <c r="D89">
        <v>1</v>
      </c>
    </row>
    <row r="90" spans="1:4" x14ac:dyDescent="0.45">
      <c r="A90" t="s">
        <v>619</v>
      </c>
      <c r="B90" s="4">
        <v>46212.526911736102</v>
      </c>
      <c r="C90">
        <v>2</v>
      </c>
      <c r="D90">
        <v>1</v>
      </c>
    </row>
    <row r="91" spans="1:4" x14ac:dyDescent="0.45">
      <c r="A91" t="s">
        <v>620</v>
      </c>
      <c r="B91" s="4">
        <v>46212.526912013898</v>
      </c>
      <c r="C91">
        <v>1</v>
      </c>
      <c r="D91">
        <v>1</v>
      </c>
    </row>
    <row r="92" spans="1:4" x14ac:dyDescent="0.45">
      <c r="A92" t="s">
        <v>621</v>
      </c>
      <c r="B92" s="4">
        <v>46212.526912025503</v>
      </c>
      <c r="C92">
        <v>1</v>
      </c>
      <c r="D92">
        <v>1</v>
      </c>
    </row>
  </sheetData>
  <hyperlinks>
    <hyperlink ref="A1" location="Карта!B15" display="[Перейти в карту выгрузки]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9"/>
  <sheetViews>
    <sheetView workbookViewId="0">
      <selection activeCell="D29" sqref="D29"/>
    </sheetView>
  </sheetViews>
  <sheetFormatPr defaultColWidth="9.06640625" defaultRowHeight="14.25" x14ac:dyDescent="0.45"/>
  <cols>
    <col min="1" max="1" width="47.73046875" customWidth="1"/>
    <col min="2" max="2" width="15.33203125" customWidth="1"/>
    <col min="3" max="3" width="6.3984375" customWidth="1"/>
    <col min="4" max="4" width="8.9296875" customWidth="1"/>
    <col min="5" max="5" width="11.06640625" customWidth="1"/>
    <col min="6" max="6" width="10.796875" customWidth="1"/>
    <col min="7" max="7" width="10.73046875" customWidth="1"/>
  </cols>
  <sheetData>
    <row r="1" spans="1:7" x14ac:dyDescent="0.45">
      <c r="A1" s="1" t="s">
        <v>15</v>
      </c>
    </row>
    <row r="2" spans="1:7" s="3" customFormat="1" ht="25.05" customHeight="1" x14ac:dyDescent="0.4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 spans="1:7" x14ac:dyDescent="0.45">
      <c r="A3" t="s">
        <v>632</v>
      </c>
      <c r="B3" s="4">
        <v>46210.4644539699</v>
      </c>
      <c r="C3">
        <v>3274</v>
      </c>
      <c r="D3">
        <v>66</v>
      </c>
      <c r="E3">
        <v>874000</v>
      </c>
      <c r="F3">
        <v>0</v>
      </c>
      <c r="G3">
        <v>10</v>
      </c>
    </row>
    <row r="4" spans="1:7" x14ac:dyDescent="0.45">
      <c r="A4" t="s">
        <v>633</v>
      </c>
      <c r="B4" s="4">
        <v>46210.4644539699</v>
      </c>
      <c r="C4">
        <v>224</v>
      </c>
      <c r="D4">
        <v>17</v>
      </c>
      <c r="E4">
        <v>984000</v>
      </c>
      <c r="F4">
        <v>0</v>
      </c>
      <c r="G4">
        <v>0</v>
      </c>
    </row>
    <row r="5" spans="1:7" x14ac:dyDescent="0.45">
      <c r="A5" t="s">
        <v>634</v>
      </c>
      <c r="B5" s="4">
        <v>46210.4644539699</v>
      </c>
      <c r="C5">
        <v>3585</v>
      </c>
      <c r="D5">
        <v>0</v>
      </c>
      <c r="E5">
        <v>783000</v>
      </c>
      <c r="F5">
        <v>0</v>
      </c>
      <c r="G5">
        <v>10</v>
      </c>
    </row>
    <row r="6" spans="1:7" x14ac:dyDescent="0.45">
      <c r="A6" t="s">
        <v>635</v>
      </c>
      <c r="B6" s="4">
        <v>46210.4644539699</v>
      </c>
      <c r="C6">
        <v>1</v>
      </c>
      <c r="D6">
        <v>12</v>
      </c>
      <c r="E6">
        <v>1000000</v>
      </c>
      <c r="F6">
        <v>0</v>
      </c>
      <c r="G6">
        <v>1</v>
      </c>
    </row>
    <row r="7" spans="1:7" x14ac:dyDescent="0.45">
      <c r="A7" t="s">
        <v>636</v>
      </c>
      <c r="B7" s="4">
        <v>46212.397656458299</v>
      </c>
      <c r="C7">
        <v>14</v>
      </c>
      <c r="D7">
        <v>5</v>
      </c>
    </row>
    <row r="8" spans="1:7" x14ac:dyDescent="0.45">
      <c r="A8" t="s">
        <v>637</v>
      </c>
      <c r="B8" s="4">
        <v>46212.397656215297</v>
      </c>
      <c r="C8">
        <v>14</v>
      </c>
      <c r="D8">
        <v>5</v>
      </c>
    </row>
    <row r="9" spans="1:7" x14ac:dyDescent="0.45">
      <c r="A9" t="s">
        <v>638</v>
      </c>
      <c r="B9" s="4">
        <v>46212.397659016198</v>
      </c>
      <c r="C9">
        <v>14</v>
      </c>
      <c r="D9">
        <v>5</v>
      </c>
    </row>
    <row r="10" spans="1:7" x14ac:dyDescent="0.45">
      <c r="A10" t="s">
        <v>639</v>
      </c>
      <c r="B10" s="4">
        <v>46212.541719108798</v>
      </c>
      <c r="C10">
        <v>14</v>
      </c>
      <c r="D10">
        <v>5</v>
      </c>
    </row>
    <row r="11" spans="1:7" x14ac:dyDescent="0.45">
      <c r="A11" t="s">
        <v>640</v>
      </c>
      <c r="B11" s="4">
        <v>46212.541719120403</v>
      </c>
      <c r="C11">
        <v>24</v>
      </c>
      <c r="D11">
        <v>5</v>
      </c>
    </row>
    <row r="12" spans="1:7" x14ac:dyDescent="0.45">
      <c r="A12" t="s">
        <v>641</v>
      </c>
      <c r="B12" s="4">
        <v>46212.541719120403</v>
      </c>
      <c r="C12">
        <v>228</v>
      </c>
      <c r="D12">
        <v>17</v>
      </c>
    </row>
    <row r="13" spans="1:7" x14ac:dyDescent="0.45">
      <c r="A13" t="s">
        <v>642</v>
      </c>
      <c r="B13" s="4">
        <v>46212.541719120403</v>
      </c>
      <c r="C13">
        <v>12</v>
      </c>
      <c r="D13">
        <v>8</v>
      </c>
    </row>
    <row r="14" spans="1:7" x14ac:dyDescent="0.45">
      <c r="A14" t="s">
        <v>631</v>
      </c>
      <c r="B14" s="4">
        <v>46212.541719120403</v>
      </c>
      <c r="C14">
        <v>1718</v>
      </c>
      <c r="D14">
        <v>167</v>
      </c>
    </row>
    <row r="15" spans="1:7" x14ac:dyDescent="0.45">
      <c r="A15" t="s">
        <v>643</v>
      </c>
      <c r="B15" s="4">
        <v>46212.541719131899</v>
      </c>
      <c r="C15">
        <v>2</v>
      </c>
      <c r="D15">
        <v>2</v>
      </c>
    </row>
    <row r="16" spans="1:7" x14ac:dyDescent="0.45">
      <c r="A16" t="s">
        <v>644</v>
      </c>
      <c r="B16" s="4">
        <v>46212.541719131899</v>
      </c>
      <c r="C16">
        <v>3478</v>
      </c>
      <c r="D16">
        <v>2</v>
      </c>
    </row>
    <row r="17" spans="1:7" x14ac:dyDescent="0.45">
      <c r="A17" t="s">
        <v>645</v>
      </c>
      <c r="B17" s="4">
        <v>46212.541719143497</v>
      </c>
      <c r="C17">
        <v>54</v>
      </c>
      <c r="D17">
        <v>2</v>
      </c>
    </row>
    <row r="18" spans="1:7" x14ac:dyDescent="0.45">
      <c r="A18" t="s">
        <v>646</v>
      </c>
      <c r="B18" s="4">
        <v>46212.541719143497</v>
      </c>
      <c r="C18">
        <v>14</v>
      </c>
      <c r="D18">
        <v>2</v>
      </c>
    </row>
    <row r="19" spans="1:7" x14ac:dyDescent="0.45">
      <c r="A19" t="s">
        <v>647</v>
      </c>
      <c r="B19" s="4">
        <v>46212.541719143497</v>
      </c>
      <c r="C19">
        <v>39</v>
      </c>
      <c r="D19">
        <v>3</v>
      </c>
    </row>
    <row r="20" spans="1:7" x14ac:dyDescent="0.45">
      <c r="A20" t="s">
        <v>648</v>
      </c>
      <c r="B20" s="4">
        <v>46212.541719143497</v>
      </c>
      <c r="C20">
        <v>3274</v>
      </c>
      <c r="D20">
        <v>2</v>
      </c>
    </row>
    <row r="21" spans="1:7" x14ac:dyDescent="0.45">
      <c r="A21" t="s">
        <v>649</v>
      </c>
      <c r="B21" s="4">
        <v>46212.541719143497</v>
      </c>
      <c r="C21">
        <v>53</v>
      </c>
      <c r="D21">
        <v>2</v>
      </c>
    </row>
    <row r="22" spans="1:7" x14ac:dyDescent="0.45">
      <c r="A22" t="s">
        <v>650</v>
      </c>
      <c r="B22" s="4">
        <v>46212.541719212997</v>
      </c>
      <c r="C22">
        <v>3</v>
      </c>
      <c r="D22">
        <v>1</v>
      </c>
    </row>
    <row r="23" spans="1:7" x14ac:dyDescent="0.45">
      <c r="A23" t="s">
        <v>651</v>
      </c>
      <c r="B23" s="4">
        <v>46212.541719212997</v>
      </c>
      <c r="C23">
        <v>2</v>
      </c>
      <c r="D23">
        <v>1</v>
      </c>
    </row>
    <row r="24" spans="1:7" x14ac:dyDescent="0.45">
      <c r="A24" t="s">
        <v>652</v>
      </c>
      <c r="B24" s="4">
        <v>46212.541719722198</v>
      </c>
      <c r="C24">
        <v>2</v>
      </c>
      <c r="D24">
        <v>1</v>
      </c>
    </row>
    <row r="25" spans="1:7" x14ac:dyDescent="0.45">
      <c r="A25" t="s">
        <v>653</v>
      </c>
      <c r="B25">
        <v>46210.464453993103</v>
      </c>
      <c r="C25">
        <v>2</v>
      </c>
      <c r="D25">
        <v>146</v>
      </c>
      <c r="E25">
        <v>902000</v>
      </c>
      <c r="F25">
        <v>0</v>
      </c>
      <c r="G25">
        <v>5</v>
      </c>
    </row>
    <row r="26" spans="1:7" x14ac:dyDescent="0.45">
      <c r="A26" t="s">
        <v>654</v>
      </c>
      <c r="B26">
        <v>46210.464453993103</v>
      </c>
      <c r="C26">
        <v>0</v>
      </c>
      <c r="D26">
        <v>2</v>
      </c>
      <c r="E26">
        <v>1000000</v>
      </c>
      <c r="F26">
        <v>0</v>
      </c>
      <c r="G26">
        <v>1</v>
      </c>
    </row>
    <row r="27" spans="1:7" x14ac:dyDescent="0.45">
      <c r="A27" t="s">
        <v>655</v>
      </c>
      <c r="B27">
        <v>46210.464453993103</v>
      </c>
      <c r="C27">
        <v>2</v>
      </c>
      <c r="D27">
        <v>146</v>
      </c>
      <c r="E27">
        <v>843000</v>
      </c>
      <c r="F27">
        <v>0</v>
      </c>
      <c r="G27">
        <v>2</v>
      </c>
    </row>
    <row r="28" spans="1:7" x14ac:dyDescent="0.45">
      <c r="A28" t="s">
        <v>656</v>
      </c>
      <c r="B28">
        <v>46210.464453993103</v>
      </c>
      <c r="C28">
        <v>0</v>
      </c>
      <c r="D28">
        <v>2</v>
      </c>
      <c r="E28">
        <v>1000000</v>
      </c>
      <c r="F28">
        <v>0</v>
      </c>
      <c r="G28">
        <v>0</v>
      </c>
    </row>
    <row r="29" spans="1:7" x14ac:dyDescent="0.45">
      <c r="D29">
        <f>SUBTOTAL(109,Table16["!" '[YW']])</f>
        <v>626</v>
      </c>
    </row>
  </sheetData>
  <hyperlinks>
    <hyperlink ref="A1" location="Карта!B16" display="[Перейти в карту выгрузки]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8"/>
  <sheetViews>
    <sheetView workbookViewId="0"/>
  </sheetViews>
  <sheetFormatPr defaultColWidth="9.06640625" defaultRowHeight="14.25" x14ac:dyDescent="0.45"/>
  <cols>
    <col min="1" max="1" width="27.265625" style="2" customWidth="1"/>
    <col min="2" max="2" width="32.3984375" customWidth="1"/>
  </cols>
  <sheetData>
    <row r="1" spans="1:2" x14ac:dyDescent="0.45">
      <c r="A1" s="2" t="s">
        <v>622</v>
      </c>
      <c r="B1" t="s">
        <v>623</v>
      </c>
    </row>
    <row r="2" spans="1:2" x14ac:dyDescent="0.45">
      <c r="A2" s="2" t="s">
        <v>16</v>
      </c>
    </row>
    <row r="3" spans="1:2" x14ac:dyDescent="0.45">
      <c r="A3" s="2" t="s">
        <v>624</v>
      </c>
    </row>
    <row r="4" spans="1:2" x14ac:dyDescent="0.45">
      <c r="A4" s="2" t="s">
        <v>625</v>
      </c>
      <c r="B4" t="s">
        <v>626</v>
      </c>
    </row>
    <row r="5" spans="1:2" x14ac:dyDescent="0.45">
      <c r="A5" s="2" t="s">
        <v>627</v>
      </c>
      <c r="B5" t="s">
        <v>628</v>
      </c>
    </row>
    <row r="6" spans="1:2" x14ac:dyDescent="0.45">
      <c r="A6" s="2" t="s">
        <v>629</v>
      </c>
      <c r="B6" t="s">
        <v>630</v>
      </c>
    </row>
    <row r="7" spans="1:2" x14ac:dyDescent="0.45">
      <c r="A7" s="2" t="s">
        <v>21</v>
      </c>
      <c r="B7" t="s">
        <v>21</v>
      </c>
    </row>
    <row r="8" spans="1:2" x14ac:dyDescent="0.45">
      <c r="A8" s="2" t="s">
        <v>22</v>
      </c>
      <c r="B8" t="s">
        <v>22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8"/>
  <sheetViews>
    <sheetView showGridLines="0" tabSelected="1" workbookViewId="0">
      <pane ySplit="2" topLeftCell="A3" activePane="bottomLeft" state="frozen"/>
      <selection pane="bottomLeft" activeCell="B6" sqref="B6"/>
    </sheetView>
  </sheetViews>
  <sheetFormatPr defaultRowHeight="14.25" x14ac:dyDescent="0.45"/>
  <cols>
    <col min="1" max="1" width="48" style="13" customWidth="1"/>
    <col min="2" max="2" width="11.796875" customWidth="1"/>
    <col min="3" max="3" width="12.59765625" style="11" customWidth="1"/>
    <col min="4" max="4" width="12.53125" style="11" customWidth="1"/>
    <col min="5" max="5" width="16" customWidth="1"/>
    <col min="6" max="6" width="15" customWidth="1"/>
    <col min="7" max="7" width="22" customWidth="1"/>
    <col min="8" max="8" width="41.46484375" customWidth="1"/>
    <col min="9" max="9" width="29" style="8" customWidth="1"/>
    <col min="10" max="10" width="29" customWidth="1"/>
  </cols>
  <sheetData>
    <row r="1" spans="1:8" x14ac:dyDescent="0.45">
      <c r="A1" s="12" t="s">
        <v>657</v>
      </c>
      <c r="B1" s="5"/>
      <c r="E1" s="5"/>
      <c r="F1" s="5"/>
      <c r="G1" s="5"/>
      <c r="H1" s="5"/>
    </row>
    <row r="2" spans="1:8" s="16" customFormat="1" ht="34.049999999999997" customHeight="1" x14ac:dyDescent="0.45">
      <c r="A2" s="3" t="s">
        <v>16</v>
      </c>
      <c r="B2" s="3" t="s">
        <v>658</v>
      </c>
      <c r="C2" s="16" t="s">
        <v>689</v>
      </c>
      <c r="D2" s="16" t="s">
        <v>688</v>
      </c>
      <c r="E2" s="3" t="s">
        <v>659</v>
      </c>
      <c r="F2" s="3" t="s">
        <v>660</v>
      </c>
      <c r="G2" s="3" t="s">
        <v>661</v>
      </c>
      <c r="H2" s="3" t="s">
        <v>662</v>
      </c>
    </row>
    <row r="3" spans="1:8" ht="32" customHeight="1" x14ac:dyDescent="0.45">
      <c r="A3" s="13" t="s">
        <v>686</v>
      </c>
      <c r="B3" s="7">
        <v>46296</v>
      </c>
      <c r="C3" s="14">
        <v>673</v>
      </c>
      <c r="D3" s="14">
        <v>21</v>
      </c>
      <c r="E3" s="13" t="s">
        <v>670</v>
      </c>
      <c r="F3" s="13" t="s">
        <v>671</v>
      </c>
      <c r="G3" s="13" t="s">
        <v>684</v>
      </c>
      <c r="H3" s="13" t="s">
        <v>685</v>
      </c>
    </row>
    <row r="4" spans="1:8" ht="32" customHeight="1" x14ac:dyDescent="0.45">
      <c r="A4" s="13" t="s">
        <v>668</v>
      </c>
      <c r="B4" s="7">
        <v>46296</v>
      </c>
      <c r="C4" s="14">
        <v>117</v>
      </c>
      <c r="D4" s="14">
        <v>0</v>
      </c>
      <c r="E4" s="13" t="s">
        <v>670</v>
      </c>
      <c r="F4" s="13" t="s">
        <v>671</v>
      </c>
      <c r="G4" s="13" t="s">
        <v>672</v>
      </c>
      <c r="H4" s="13" t="s">
        <v>673</v>
      </c>
    </row>
    <row r="5" spans="1:8" ht="30" customHeight="1" x14ac:dyDescent="0.45">
      <c r="A5" s="13" t="s">
        <v>683</v>
      </c>
      <c r="B5" s="7">
        <v>46296</v>
      </c>
      <c r="C5" s="14">
        <v>24</v>
      </c>
      <c r="D5" s="14">
        <v>0</v>
      </c>
      <c r="E5" s="13" t="s">
        <v>670</v>
      </c>
      <c r="F5" s="13" t="s">
        <v>671</v>
      </c>
      <c r="G5" s="13" t="s">
        <v>684</v>
      </c>
      <c r="H5" s="13" t="s">
        <v>685</v>
      </c>
    </row>
    <row r="6" spans="1:8" ht="30" customHeight="1" x14ac:dyDescent="0.45">
      <c r="A6" s="13" t="s">
        <v>678</v>
      </c>
      <c r="B6" s="7">
        <v>46296</v>
      </c>
      <c r="C6" s="14">
        <v>12</v>
      </c>
      <c r="D6" s="14">
        <v>0</v>
      </c>
      <c r="E6" s="13" t="s">
        <v>670</v>
      </c>
      <c r="F6" s="13" t="s">
        <v>671</v>
      </c>
      <c r="G6" s="13" t="s">
        <v>672</v>
      </c>
      <c r="H6" s="13" t="s">
        <v>673</v>
      </c>
    </row>
    <row r="7" spans="1:8" ht="30" customHeight="1" x14ac:dyDescent="0.45">
      <c r="A7" s="13" t="s">
        <v>682</v>
      </c>
      <c r="B7" s="7">
        <v>46296</v>
      </c>
      <c r="C7" s="14">
        <v>10</v>
      </c>
      <c r="D7" s="14">
        <v>0</v>
      </c>
      <c r="E7" s="13" t="s">
        <v>670</v>
      </c>
      <c r="F7" s="13" t="s">
        <v>671</v>
      </c>
      <c r="G7" s="13" t="s">
        <v>672</v>
      </c>
      <c r="H7" s="13" t="s">
        <v>673</v>
      </c>
    </row>
    <row r="8" spans="1:8" ht="30" customHeight="1" x14ac:dyDescent="0.45">
      <c r="A8" s="6" t="s">
        <v>663</v>
      </c>
      <c r="B8" s="7">
        <v>46296</v>
      </c>
      <c r="C8" s="14">
        <v>5</v>
      </c>
      <c r="D8" s="14">
        <v>0</v>
      </c>
      <c r="E8" s="6" t="s">
        <v>664</v>
      </c>
      <c r="F8" s="6" t="s">
        <v>665</v>
      </c>
      <c r="G8" s="6" t="s">
        <v>666</v>
      </c>
      <c r="H8" s="6" t="s">
        <v>667</v>
      </c>
    </row>
    <row r="9" spans="1:8" ht="30" customHeight="1" x14ac:dyDescent="0.45">
      <c r="A9" s="13" t="s">
        <v>675</v>
      </c>
      <c r="B9" s="7">
        <v>46296</v>
      </c>
      <c r="C9" s="14">
        <v>5</v>
      </c>
      <c r="D9" s="14">
        <v>0</v>
      </c>
      <c r="E9" s="13" t="s">
        <v>670</v>
      </c>
      <c r="F9" s="13" t="s">
        <v>671</v>
      </c>
      <c r="G9" s="13" t="s">
        <v>672</v>
      </c>
      <c r="H9" s="13" t="s">
        <v>673</v>
      </c>
    </row>
    <row r="10" spans="1:8" ht="30" customHeight="1" x14ac:dyDescent="0.45">
      <c r="A10" s="13" t="s">
        <v>677</v>
      </c>
      <c r="B10" s="7">
        <v>46296</v>
      </c>
      <c r="C10" s="14">
        <v>5</v>
      </c>
      <c r="D10" s="14">
        <v>0</v>
      </c>
      <c r="E10" s="13" t="s">
        <v>670</v>
      </c>
      <c r="F10" s="13" t="s">
        <v>671</v>
      </c>
      <c r="G10" s="13" t="s">
        <v>672</v>
      </c>
      <c r="H10" s="13" t="s">
        <v>673</v>
      </c>
    </row>
    <row r="11" spans="1:8" ht="30" customHeight="1" x14ac:dyDescent="0.45">
      <c r="A11" s="13" t="s">
        <v>687</v>
      </c>
      <c r="B11" s="7">
        <v>46296</v>
      </c>
      <c r="C11" s="14">
        <v>3</v>
      </c>
      <c r="D11" s="14">
        <v>0</v>
      </c>
      <c r="E11" s="13" t="s">
        <v>670</v>
      </c>
      <c r="F11" s="13" t="s">
        <v>671</v>
      </c>
      <c r="G11" s="13" t="s">
        <v>684</v>
      </c>
      <c r="H11" s="13" t="s">
        <v>685</v>
      </c>
    </row>
    <row r="12" spans="1:8" ht="30" customHeight="1" x14ac:dyDescent="0.45">
      <c r="A12" s="13" t="s">
        <v>669</v>
      </c>
      <c r="B12" s="7">
        <v>46296</v>
      </c>
      <c r="C12" s="14">
        <v>2</v>
      </c>
      <c r="D12" s="14">
        <v>0</v>
      </c>
      <c r="E12" s="13" t="s">
        <v>670</v>
      </c>
      <c r="F12" s="13" t="s">
        <v>671</v>
      </c>
      <c r="G12" s="13" t="s">
        <v>672</v>
      </c>
      <c r="H12" s="13" t="s">
        <v>673</v>
      </c>
    </row>
    <row r="13" spans="1:8" ht="30" customHeight="1" x14ac:dyDescent="0.45">
      <c r="A13" s="13" t="s">
        <v>674</v>
      </c>
      <c r="B13" s="7">
        <v>46296</v>
      </c>
      <c r="C13" s="14">
        <v>2</v>
      </c>
      <c r="D13" s="14">
        <v>0</v>
      </c>
      <c r="E13" s="13" t="s">
        <v>670</v>
      </c>
      <c r="F13" s="13" t="s">
        <v>671</v>
      </c>
      <c r="G13" s="13" t="s">
        <v>672</v>
      </c>
      <c r="H13" s="13" t="s">
        <v>673</v>
      </c>
    </row>
    <row r="14" spans="1:8" ht="30" customHeight="1" x14ac:dyDescent="0.45">
      <c r="A14" s="13" t="s">
        <v>676</v>
      </c>
      <c r="B14" s="7">
        <v>46296</v>
      </c>
      <c r="C14" s="14">
        <v>1</v>
      </c>
      <c r="D14" s="14">
        <v>0</v>
      </c>
      <c r="E14" s="13" t="s">
        <v>670</v>
      </c>
      <c r="F14" s="13" t="s">
        <v>671</v>
      </c>
      <c r="G14" s="13" t="s">
        <v>672</v>
      </c>
      <c r="H14" s="13" t="s">
        <v>673</v>
      </c>
    </row>
    <row r="15" spans="1:8" ht="30" customHeight="1" x14ac:dyDescent="0.45">
      <c r="A15" s="13" t="s">
        <v>679</v>
      </c>
      <c r="B15" s="7">
        <v>46296</v>
      </c>
      <c r="C15" s="14">
        <v>1</v>
      </c>
      <c r="D15" s="14">
        <v>0</v>
      </c>
      <c r="E15" s="13" t="s">
        <v>670</v>
      </c>
      <c r="F15" s="13" t="s">
        <v>671</v>
      </c>
      <c r="G15" s="13" t="s">
        <v>672</v>
      </c>
      <c r="H15" s="13" t="s">
        <v>673</v>
      </c>
    </row>
    <row r="16" spans="1:8" ht="30" customHeight="1" x14ac:dyDescent="0.45">
      <c r="A16" s="13" t="s">
        <v>680</v>
      </c>
      <c r="B16" s="7">
        <v>46296</v>
      </c>
      <c r="C16" s="14">
        <v>1</v>
      </c>
      <c r="D16" s="14">
        <v>0</v>
      </c>
      <c r="E16" s="13" t="s">
        <v>670</v>
      </c>
      <c r="F16" s="13" t="s">
        <v>671</v>
      </c>
      <c r="G16" s="13" t="s">
        <v>672</v>
      </c>
      <c r="H16" s="13" t="s">
        <v>673</v>
      </c>
    </row>
    <row r="17" spans="1:8" ht="30" customHeight="1" x14ac:dyDescent="0.45">
      <c r="A17" s="13" t="s">
        <v>681</v>
      </c>
      <c r="B17" s="7">
        <v>46296</v>
      </c>
      <c r="C17" s="14">
        <v>1</v>
      </c>
      <c r="D17" s="14">
        <v>0</v>
      </c>
      <c r="E17" s="13" t="s">
        <v>670</v>
      </c>
      <c r="F17" s="13" t="s">
        <v>671</v>
      </c>
      <c r="G17" s="13" t="s">
        <v>672</v>
      </c>
      <c r="H17" s="13" t="s">
        <v>673</v>
      </c>
    </row>
    <row r="18" spans="1:8" x14ac:dyDescent="0.45">
      <c r="B18" s="13"/>
      <c r="C18" s="15">
        <f>SUBTOTAL(109,CategoryBKeywords[Wordstat БЧ])</f>
        <v>862</v>
      </c>
      <c r="D18" s="15">
        <f>SUBTOTAL(109,CategoryBKeywords[Wordstat ТЧ])</f>
        <v>21</v>
      </c>
      <c r="E18" s="13"/>
      <c r="F18" s="13"/>
      <c r="G18" s="13"/>
      <c r="H18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Карта</vt:lpstr>
      <vt:lpstr>Подбор персонала  Главная</vt:lpstr>
      <vt:lpstr>водитель спецтехника</vt:lpstr>
      <vt:lpstr>водитель грузового автомобиля</vt:lpstr>
      <vt:lpstr>водитель погрузчика</vt:lpstr>
      <vt:lpstr>водитель самосвала</vt:lpstr>
      <vt:lpstr>водитель тягача</vt:lpstr>
      <vt:lpstr>Топливозаправщик</vt:lpstr>
      <vt:lpstr>водитель трала</vt:lpstr>
      <vt:lpstr>водитель вездехода</vt:lpstr>
      <vt:lpstr>водитель ломовоза</vt:lpstr>
      <vt:lpstr>машинисты спецтехники</vt:lpstr>
      <vt:lpstr>бульдозеристы</vt:lpstr>
      <vt:lpstr>машинист трубоукладчика</vt:lpstr>
      <vt:lpstr>экскаваторщик</vt:lpstr>
      <vt:lpstr>машинисты автокрана</vt:lpstr>
      <vt:lpstr>машинист автовышки и автогидроп</vt:lpstr>
      <vt:lpstr>Справка</vt:lpstr>
      <vt:lpstr>водители категории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modified xsi:type="dcterms:W3CDTF">2026-10-01T08:19:43Z</dcterms:modified>
</cp:coreProperties>
</file>